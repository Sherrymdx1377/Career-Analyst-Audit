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C3CDF6EE-8558-4D67-974B-DBAD001044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2 Monthly Trial Bal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Phpf7GL4eT+WYLnlV6nyqZucpaQ=="/>
    </ext>
  </extLst>
</workbook>
</file>

<file path=xl/calcChain.xml><?xml version="1.0" encoding="utf-8"?>
<calcChain xmlns="http://schemas.openxmlformats.org/spreadsheetml/2006/main">
  <c r="V14" i="1" l="1"/>
  <c r="V15" i="1"/>
  <c r="V16" i="1"/>
  <c r="V17" i="1"/>
  <c r="V18" i="1"/>
  <c r="V19" i="1"/>
  <c r="V20" i="1"/>
  <c r="W20" i="1" s="1"/>
  <c r="V21" i="1"/>
  <c r="W21" i="1" s="1"/>
  <c r="V22" i="1"/>
  <c r="V23" i="1"/>
  <c r="V25" i="1"/>
  <c r="V26" i="1"/>
  <c r="V27" i="1"/>
  <c r="V28" i="1"/>
  <c r="V29" i="1"/>
  <c r="W29" i="1" s="1"/>
  <c r="V30" i="1"/>
  <c r="V31" i="1"/>
  <c r="V32" i="1"/>
  <c r="V33" i="1"/>
  <c r="V34" i="1"/>
  <c r="V35" i="1"/>
  <c r="V36" i="1"/>
  <c r="V37" i="1"/>
  <c r="W37" i="1" s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W52" i="1" s="1"/>
  <c r="V53" i="1"/>
  <c r="V54" i="1"/>
  <c r="V55" i="1"/>
  <c r="V56" i="1"/>
  <c r="V57" i="1"/>
  <c r="V58" i="1"/>
  <c r="V59" i="1"/>
  <c r="V60" i="1"/>
  <c r="V61" i="1"/>
  <c r="W61" i="1" s="1"/>
  <c r="V62" i="1"/>
  <c r="V63" i="1"/>
  <c r="V64" i="1"/>
  <c r="V65" i="1"/>
  <c r="V66" i="1"/>
  <c r="V67" i="1"/>
  <c r="V68" i="1"/>
  <c r="V69" i="1"/>
  <c r="W69" i="1" s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13" i="1"/>
  <c r="W14" i="1"/>
  <c r="W45" i="1"/>
  <c r="W53" i="1"/>
  <c r="W77" i="1"/>
  <c r="W85" i="1"/>
  <c r="W93" i="1"/>
  <c r="W101" i="1"/>
  <c r="W109" i="1"/>
  <c r="W117" i="1"/>
  <c r="W125" i="1"/>
  <c r="W133" i="1"/>
  <c r="W141" i="1"/>
  <c r="W149" i="1"/>
  <c r="W157" i="1"/>
  <c r="W165" i="1"/>
  <c r="W173" i="1"/>
  <c r="W181" i="1"/>
  <c r="W189" i="1"/>
  <c r="W197" i="1"/>
  <c r="W205" i="1"/>
  <c r="W213" i="1"/>
  <c r="W221" i="1"/>
  <c r="W229" i="1"/>
  <c r="W237" i="1"/>
  <c r="W245" i="1"/>
  <c r="W253" i="1"/>
  <c r="W261" i="1"/>
  <c r="W269" i="1"/>
  <c r="W277" i="1"/>
  <c r="W285" i="1"/>
  <c r="W293" i="1"/>
  <c r="W301" i="1"/>
  <c r="W309" i="1"/>
  <c r="W317" i="1"/>
  <c r="W325" i="1"/>
  <c r="W333" i="1"/>
  <c r="W341" i="1"/>
  <c r="W349" i="1"/>
  <c r="W357" i="1"/>
  <c r="W15" i="1"/>
  <c r="W360" i="1"/>
  <c r="W16" i="1"/>
  <c r="W17" i="1"/>
  <c r="W18" i="1"/>
  <c r="W19" i="1"/>
  <c r="W22" i="1"/>
  <c r="W23" i="1"/>
  <c r="W25" i="1"/>
  <c r="W26" i="1"/>
  <c r="W27" i="1"/>
  <c r="W28" i="1"/>
  <c r="W30" i="1"/>
  <c r="W31" i="1"/>
  <c r="W32" i="1"/>
  <c r="W33" i="1"/>
  <c r="W34" i="1"/>
  <c r="W35" i="1"/>
  <c r="W36" i="1"/>
  <c r="W38" i="1"/>
  <c r="W39" i="1"/>
  <c r="W40" i="1"/>
  <c r="W41" i="1"/>
  <c r="W42" i="1"/>
  <c r="W43" i="1"/>
  <c r="W44" i="1"/>
  <c r="W46" i="1"/>
  <c r="W47" i="1"/>
  <c r="W48" i="1"/>
  <c r="W49" i="1"/>
  <c r="W50" i="1"/>
  <c r="W51" i="1"/>
  <c r="W54" i="1"/>
  <c r="W55" i="1"/>
  <c r="W56" i="1"/>
  <c r="W57" i="1"/>
  <c r="W58" i="1"/>
  <c r="W59" i="1"/>
  <c r="W60" i="1"/>
  <c r="W62" i="1"/>
  <c r="W63" i="1"/>
  <c r="W64" i="1"/>
  <c r="W65" i="1"/>
  <c r="W66" i="1"/>
  <c r="W67" i="1"/>
  <c r="W68" i="1"/>
  <c r="W70" i="1"/>
  <c r="W71" i="1"/>
  <c r="W72" i="1"/>
  <c r="W73" i="1"/>
  <c r="W74" i="1"/>
  <c r="W75" i="1"/>
  <c r="W76" i="1"/>
  <c r="W78" i="1"/>
  <c r="W79" i="1"/>
  <c r="W80" i="1"/>
  <c r="W81" i="1"/>
  <c r="W82" i="1"/>
  <c r="W83" i="1"/>
  <c r="W84" i="1"/>
  <c r="W86" i="1"/>
  <c r="W87" i="1"/>
  <c r="W88" i="1"/>
  <c r="W89" i="1"/>
  <c r="W90" i="1"/>
  <c r="W91" i="1"/>
  <c r="W92" i="1"/>
  <c r="W94" i="1"/>
  <c r="W95" i="1"/>
  <c r="W96" i="1"/>
  <c r="W97" i="1"/>
  <c r="W98" i="1"/>
  <c r="W99" i="1"/>
  <c r="W100" i="1"/>
  <c r="W102" i="1"/>
  <c r="W103" i="1"/>
  <c r="W104" i="1"/>
  <c r="W105" i="1"/>
  <c r="W106" i="1"/>
  <c r="W107" i="1"/>
  <c r="W108" i="1"/>
  <c r="W110" i="1"/>
  <c r="W111" i="1"/>
  <c r="W112" i="1"/>
  <c r="W113" i="1"/>
  <c r="W114" i="1"/>
  <c r="W115" i="1"/>
  <c r="W116" i="1"/>
  <c r="W118" i="1"/>
  <c r="W119" i="1"/>
  <c r="W120" i="1"/>
  <c r="W121" i="1"/>
  <c r="W122" i="1"/>
  <c r="W123" i="1"/>
  <c r="W124" i="1"/>
  <c r="W126" i="1"/>
  <c r="W127" i="1"/>
  <c r="W128" i="1"/>
  <c r="W129" i="1"/>
  <c r="W130" i="1"/>
  <c r="W131" i="1"/>
  <c r="W132" i="1"/>
  <c r="W134" i="1"/>
  <c r="W135" i="1"/>
  <c r="W136" i="1"/>
  <c r="W137" i="1"/>
  <c r="W138" i="1"/>
  <c r="W139" i="1"/>
  <c r="W140" i="1"/>
  <c r="W142" i="1"/>
  <c r="W143" i="1"/>
  <c r="W144" i="1"/>
  <c r="W145" i="1"/>
  <c r="W146" i="1"/>
  <c r="W147" i="1"/>
  <c r="W148" i="1"/>
  <c r="W150" i="1"/>
  <c r="W151" i="1"/>
  <c r="W152" i="1"/>
  <c r="W153" i="1"/>
  <c r="W154" i="1"/>
  <c r="W155" i="1"/>
  <c r="W156" i="1"/>
  <c r="W158" i="1"/>
  <c r="W159" i="1"/>
  <c r="W160" i="1"/>
  <c r="W161" i="1"/>
  <c r="W162" i="1"/>
  <c r="W163" i="1"/>
  <c r="W164" i="1"/>
  <c r="W166" i="1"/>
  <c r="W167" i="1"/>
  <c r="W168" i="1"/>
  <c r="W169" i="1"/>
  <c r="W170" i="1"/>
  <c r="W171" i="1"/>
  <c r="W172" i="1"/>
  <c r="W174" i="1"/>
  <c r="W175" i="1"/>
  <c r="W176" i="1"/>
  <c r="W177" i="1"/>
  <c r="W178" i="1"/>
  <c r="W179" i="1"/>
  <c r="W180" i="1"/>
  <c r="W182" i="1"/>
  <c r="W183" i="1"/>
  <c r="W184" i="1"/>
  <c r="W185" i="1"/>
  <c r="W186" i="1"/>
  <c r="W187" i="1"/>
  <c r="W188" i="1"/>
  <c r="W190" i="1"/>
  <c r="W191" i="1"/>
  <c r="W192" i="1"/>
  <c r="W193" i="1"/>
  <c r="W194" i="1"/>
  <c r="W195" i="1"/>
  <c r="W196" i="1"/>
  <c r="W198" i="1"/>
  <c r="W199" i="1"/>
  <c r="W200" i="1"/>
  <c r="W201" i="1"/>
  <c r="W202" i="1"/>
  <c r="W203" i="1"/>
  <c r="W204" i="1"/>
  <c r="W206" i="1"/>
  <c r="W207" i="1"/>
  <c r="W208" i="1"/>
  <c r="W209" i="1"/>
  <c r="W210" i="1"/>
  <c r="W211" i="1"/>
  <c r="W212" i="1"/>
  <c r="W214" i="1"/>
  <c r="W215" i="1"/>
  <c r="W216" i="1"/>
  <c r="W217" i="1"/>
  <c r="W218" i="1"/>
  <c r="W219" i="1"/>
  <c r="W220" i="1"/>
  <c r="W222" i="1"/>
  <c r="W223" i="1"/>
  <c r="W224" i="1"/>
  <c r="W225" i="1"/>
  <c r="W226" i="1"/>
  <c r="W227" i="1"/>
  <c r="W228" i="1"/>
  <c r="W230" i="1"/>
  <c r="W231" i="1"/>
  <c r="W232" i="1"/>
  <c r="W233" i="1"/>
  <c r="W234" i="1"/>
  <c r="W235" i="1"/>
  <c r="W236" i="1"/>
  <c r="W238" i="1"/>
  <c r="W239" i="1"/>
  <c r="W240" i="1"/>
  <c r="W241" i="1"/>
  <c r="W242" i="1"/>
  <c r="W243" i="1"/>
  <c r="W244" i="1"/>
  <c r="W246" i="1"/>
  <c r="W247" i="1"/>
  <c r="W248" i="1"/>
  <c r="W249" i="1"/>
  <c r="W250" i="1"/>
  <c r="W251" i="1"/>
  <c r="W252" i="1"/>
  <c r="W254" i="1"/>
  <c r="W255" i="1"/>
  <c r="W256" i="1"/>
  <c r="W257" i="1"/>
  <c r="W258" i="1"/>
  <c r="W259" i="1"/>
  <c r="W260" i="1"/>
  <c r="W262" i="1"/>
  <c r="W263" i="1"/>
  <c r="W264" i="1"/>
  <c r="W265" i="1"/>
  <c r="W266" i="1"/>
  <c r="W267" i="1"/>
  <c r="W268" i="1"/>
  <c r="W270" i="1"/>
  <c r="W271" i="1"/>
  <c r="W272" i="1"/>
  <c r="W273" i="1"/>
  <c r="W274" i="1"/>
  <c r="W275" i="1"/>
  <c r="W276" i="1"/>
  <c r="W278" i="1"/>
  <c r="W279" i="1"/>
  <c r="W280" i="1"/>
  <c r="W281" i="1"/>
  <c r="W282" i="1"/>
  <c r="W283" i="1"/>
  <c r="W284" i="1"/>
  <c r="W286" i="1"/>
  <c r="W287" i="1"/>
  <c r="W288" i="1"/>
  <c r="W289" i="1"/>
  <c r="W290" i="1"/>
  <c r="W291" i="1"/>
  <c r="W292" i="1"/>
  <c r="W294" i="1"/>
  <c r="W295" i="1"/>
  <c r="W296" i="1"/>
  <c r="W297" i="1"/>
  <c r="W298" i="1"/>
  <c r="W299" i="1"/>
  <c r="W300" i="1"/>
  <c r="W302" i="1"/>
  <c r="W303" i="1"/>
  <c r="W304" i="1"/>
  <c r="W305" i="1"/>
  <c r="W306" i="1"/>
  <c r="W307" i="1"/>
  <c r="W308" i="1"/>
  <c r="W310" i="1"/>
  <c r="W311" i="1"/>
  <c r="W312" i="1"/>
  <c r="W313" i="1"/>
  <c r="W314" i="1"/>
  <c r="W315" i="1"/>
  <c r="W316" i="1"/>
  <c r="W318" i="1"/>
  <c r="W319" i="1"/>
  <c r="W320" i="1"/>
  <c r="W321" i="1"/>
  <c r="W322" i="1"/>
  <c r="W323" i="1"/>
  <c r="W324" i="1"/>
  <c r="W326" i="1"/>
  <c r="W327" i="1"/>
  <c r="W328" i="1"/>
  <c r="W329" i="1"/>
  <c r="W330" i="1"/>
  <c r="W331" i="1"/>
  <c r="W332" i="1"/>
  <c r="W334" i="1"/>
  <c r="W335" i="1"/>
  <c r="W336" i="1"/>
  <c r="W337" i="1"/>
  <c r="W338" i="1"/>
  <c r="W339" i="1"/>
  <c r="W340" i="1"/>
  <c r="W342" i="1"/>
  <c r="W343" i="1"/>
  <c r="W344" i="1"/>
  <c r="W345" i="1"/>
  <c r="W346" i="1"/>
  <c r="W347" i="1"/>
  <c r="W348" i="1"/>
  <c r="W350" i="1"/>
  <c r="W351" i="1"/>
  <c r="W352" i="1"/>
  <c r="W353" i="1"/>
  <c r="W354" i="1"/>
  <c r="W355" i="1"/>
  <c r="W356" i="1"/>
  <c r="W358" i="1"/>
  <c r="W359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13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D10" i="1"/>
  <c r="T6" i="1" s="1"/>
  <c r="T8" i="1" s="1"/>
  <c r="D9" i="1"/>
  <c r="D8" i="1"/>
  <c r="T7" i="1"/>
  <c r="D7" i="1"/>
  <c r="S483" i="1" l="1"/>
  <c r="T483" i="1" s="1"/>
  <c r="S479" i="1"/>
  <c r="T479" i="1" s="1"/>
  <c r="S475" i="1"/>
  <c r="T475" i="1" s="1"/>
  <c r="S471" i="1"/>
  <c r="T471" i="1" s="1"/>
  <c r="S467" i="1"/>
  <c r="T467" i="1" s="1"/>
  <c r="S463" i="1"/>
  <c r="T463" i="1" s="1"/>
  <c r="S459" i="1"/>
  <c r="T459" i="1" s="1"/>
  <c r="S455" i="1"/>
  <c r="T455" i="1" s="1"/>
  <c r="S451" i="1"/>
  <c r="T451" i="1" s="1"/>
  <c r="S447" i="1"/>
  <c r="T447" i="1" s="1"/>
  <c r="S443" i="1"/>
  <c r="T443" i="1" s="1"/>
  <c r="S439" i="1"/>
  <c r="T439" i="1" s="1"/>
  <c r="S435" i="1"/>
  <c r="T435" i="1" s="1"/>
  <c r="S431" i="1"/>
  <c r="T431" i="1" s="1"/>
  <c r="S427" i="1"/>
  <c r="T427" i="1" s="1"/>
  <c r="S423" i="1"/>
  <c r="T423" i="1" s="1"/>
  <c r="S419" i="1"/>
  <c r="T419" i="1" s="1"/>
  <c r="S415" i="1"/>
  <c r="T415" i="1" s="1"/>
  <c r="S411" i="1"/>
  <c r="T411" i="1" s="1"/>
  <c r="S407" i="1"/>
  <c r="T407" i="1" s="1"/>
  <c r="S403" i="1"/>
  <c r="T403" i="1" s="1"/>
  <c r="S399" i="1"/>
  <c r="T399" i="1" s="1"/>
  <c r="S395" i="1"/>
  <c r="T395" i="1" s="1"/>
  <c r="S391" i="1"/>
  <c r="T391" i="1" s="1"/>
  <c r="S387" i="1"/>
  <c r="T387" i="1" s="1"/>
  <c r="S383" i="1"/>
  <c r="T383" i="1" s="1"/>
  <c r="S379" i="1"/>
  <c r="T379" i="1" s="1"/>
  <c r="S375" i="1"/>
  <c r="T375" i="1" s="1"/>
  <c r="S371" i="1"/>
  <c r="T371" i="1" s="1"/>
  <c r="S367" i="1"/>
  <c r="T367" i="1" s="1"/>
  <c r="S363" i="1"/>
  <c r="T363" i="1" s="1"/>
  <c r="S359" i="1"/>
  <c r="T359" i="1" s="1"/>
  <c r="S355" i="1"/>
  <c r="T355" i="1" s="1"/>
  <c r="S351" i="1"/>
  <c r="T351" i="1" s="1"/>
  <c r="S347" i="1"/>
  <c r="T347" i="1" s="1"/>
  <c r="S343" i="1"/>
  <c r="T343" i="1" s="1"/>
  <c r="S339" i="1"/>
  <c r="T339" i="1" s="1"/>
  <c r="S335" i="1"/>
  <c r="T335" i="1" s="1"/>
  <c r="S331" i="1"/>
  <c r="T331" i="1" s="1"/>
  <c r="S327" i="1"/>
  <c r="T327" i="1" s="1"/>
  <c r="S323" i="1"/>
  <c r="T323" i="1" s="1"/>
  <c r="S319" i="1"/>
  <c r="T319" i="1" s="1"/>
  <c r="S315" i="1"/>
  <c r="T315" i="1" s="1"/>
  <c r="S311" i="1"/>
  <c r="T311" i="1" s="1"/>
  <c r="S307" i="1"/>
  <c r="T307" i="1" s="1"/>
  <c r="S303" i="1"/>
  <c r="T303" i="1" s="1"/>
  <c r="S299" i="1"/>
  <c r="T299" i="1" s="1"/>
  <c r="S295" i="1"/>
  <c r="T295" i="1" s="1"/>
  <c r="S291" i="1"/>
  <c r="T291" i="1" s="1"/>
  <c r="S287" i="1"/>
  <c r="T287" i="1" s="1"/>
  <c r="S283" i="1"/>
  <c r="T283" i="1" s="1"/>
  <c r="S279" i="1"/>
  <c r="T279" i="1" s="1"/>
  <c r="S275" i="1"/>
  <c r="T275" i="1" s="1"/>
  <c r="S271" i="1"/>
  <c r="T271" i="1" s="1"/>
  <c r="S267" i="1"/>
  <c r="T267" i="1" s="1"/>
  <c r="S263" i="1"/>
  <c r="T263" i="1" s="1"/>
  <c r="S259" i="1"/>
  <c r="T259" i="1" s="1"/>
  <c r="S255" i="1"/>
  <c r="T255" i="1" s="1"/>
  <c r="S251" i="1"/>
  <c r="T251" i="1" s="1"/>
  <c r="S247" i="1"/>
  <c r="T247" i="1" s="1"/>
  <c r="S243" i="1"/>
  <c r="T243" i="1" s="1"/>
  <c r="S239" i="1"/>
  <c r="T239" i="1" s="1"/>
  <c r="S235" i="1"/>
  <c r="T235" i="1" s="1"/>
  <c r="S231" i="1"/>
  <c r="T231" i="1" s="1"/>
  <c r="S227" i="1"/>
  <c r="T227" i="1" s="1"/>
  <c r="S223" i="1"/>
  <c r="T223" i="1" s="1"/>
  <c r="S219" i="1"/>
  <c r="T219" i="1" s="1"/>
  <c r="S215" i="1"/>
  <c r="T215" i="1" s="1"/>
  <c r="S211" i="1"/>
  <c r="T211" i="1" s="1"/>
  <c r="S207" i="1"/>
  <c r="T207" i="1" s="1"/>
  <c r="S203" i="1"/>
  <c r="T203" i="1" s="1"/>
  <c r="S199" i="1"/>
  <c r="T199" i="1" s="1"/>
  <c r="S195" i="1"/>
  <c r="T195" i="1" s="1"/>
  <c r="S191" i="1"/>
  <c r="T191" i="1" s="1"/>
  <c r="S187" i="1"/>
  <c r="T187" i="1" s="1"/>
  <c r="S183" i="1"/>
  <c r="T183" i="1" s="1"/>
  <c r="S179" i="1"/>
  <c r="T179" i="1" s="1"/>
  <c r="S175" i="1"/>
  <c r="T175" i="1" s="1"/>
  <c r="S171" i="1"/>
  <c r="T171" i="1" s="1"/>
  <c r="S167" i="1"/>
  <c r="T167" i="1" s="1"/>
  <c r="S163" i="1"/>
  <c r="T163" i="1" s="1"/>
  <c r="S159" i="1"/>
  <c r="T159" i="1" s="1"/>
  <c r="S155" i="1"/>
  <c r="T155" i="1" s="1"/>
  <c r="S151" i="1"/>
  <c r="T151" i="1" s="1"/>
  <c r="S147" i="1"/>
  <c r="T147" i="1" s="1"/>
  <c r="S482" i="1"/>
  <c r="T482" i="1" s="1"/>
  <c r="S485" i="1"/>
  <c r="T485" i="1" s="1"/>
  <c r="S481" i="1"/>
  <c r="T481" i="1" s="1"/>
  <c r="S477" i="1"/>
  <c r="T477" i="1" s="1"/>
  <c r="S473" i="1"/>
  <c r="T473" i="1" s="1"/>
  <c r="S469" i="1"/>
  <c r="T469" i="1" s="1"/>
  <c r="S465" i="1"/>
  <c r="T465" i="1" s="1"/>
  <c r="S461" i="1"/>
  <c r="T461" i="1" s="1"/>
  <c r="S457" i="1"/>
  <c r="T457" i="1" s="1"/>
  <c r="S453" i="1"/>
  <c r="T453" i="1" s="1"/>
  <c r="S449" i="1"/>
  <c r="T449" i="1" s="1"/>
  <c r="S445" i="1"/>
  <c r="T445" i="1" s="1"/>
  <c r="S441" i="1"/>
  <c r="T441" i="1" s="1"/>
  <c r="S437" i="1"/>
  <c r="T437" i="1" s="1"/>
  <c r="S433" i="1"/>
  <c r="T433" i="1" s="1"/>
  <c r="S429" i="1"/>
  <c r="T429" i="1" s="1"/>
  <c r="S425" i="1"/>
  <c r="T425" i="1" s="1"/>
  <c r="S421" i="1"/>
  <c r="T421" i="1" s="1"/>
  <c r="S417" i="1"/>
  <c r="T417" i="1" s="1"/>
  <c r="S413" i="1"/>
  <c r="T413" i="1" s="1"/>
  <c r="S409" i="1"/>
  <c r="T409" i="1" s="1"/>
  <c r="S405" i="1"/>
  <c r="T405" i="1" s="1"/>
  <c r="S401" i="1"/>
  <c r="T401" i="1" s="1"/>
  <c r="S397" i="1"/>
  <c r="T397" i="1" s="1"/>
  <c r="S393" i="1"/>
  <c r="T393" i="1" s="1"/>
  <c r="S389" i="1"/>
  <c r="T389" i="1" s="1"/>
  <c r="S385" i="1"/>
  <c r="T385" i="1" s="1"/>
  <c r="S381" i="1"/>
  <c r="T381" i="1" s="1"/>
  <c r="S377" i="1"/>
  <c r="T377" i="1" s="1"/>
  <c r="S373" i="1"/>
  <c r="T373" i="1" s="1"/>
  <c r="S369" i="1"/>
  <c r="T369" i="1" s="1"/>
  <c r="S365" i="1"/>
  <c r="T365" i="1" s="1"/>
  <c r="S361" i="1"/>
  <c r="T361" i="1" s="1"/>
  <c r="S357" i="1"/>
  <c r="T357" i="1" s="1"/>
  <c r="S353" i="1"/>
  <c r="T353" i="1" s="1"/>
  <c r="S349" i="1"/>
  <c r="T349" i="1" s="1"/>
  <c r="S345" i="1"/>
  <c r="T345" i="1" s="1"/>
  <c r="S341" i="1"/>
  <c r="T341" i="1" s="1"/>
  <c r="S337" i="1"/>
  <c r="T337" i="1" s="1"/>
  <c r="S333" i="1"/>
  <c r="T333" i="1" s="1"/>
  <c r="S329" i="1"/>
  <c r="T329" i="1" s="1"/>
  <c r="S325" i="1"/>
  <c r="T325" i="1" s="1"/>
  <c r="S321" i="1"/>
  <c r="T321" i="1" s="1"/>
  <c r="S317" i="1"/>
  <c r="T317" i="1" s="1"/>
  <c r="S313" i="1"/>
  <c r="T313" i="1" s="1"/>
  <c r="S309" i="1"/>
  <c r="T309" i="1" s="1"/>
  <c r="S305" i="1"/>
  <c r="T305" i="1" s="1"/>
  <c r="S301" i="1"/>
  <c r="T301" i="1" s="1"/>
  <c r="S297" i="1"/>
  <c r="T297" i="1" s="1"/>
  <c r="S293" i="1"/>
  <c r="T293" i="1" s="1"/>
  <c r="S289" i="1"/>
  <c r="T289" i="1" s="1"/>
  <c r="S285" i="1"/>
  <c r="T285" i="1" s="1"/>
  <c r="S281" i="1"/>
  <c r="T281" i="1" s="1"/>
  <c r="S277" i="1"/>
  <c r="T277" i="1" s="1"/>
  <c r="S273" i="1"/>
  <c r="T273" i="1" s="1"/>
  <c r="S269" i="1"/>
  <c r="T269" i="1" s="1"/>
  <c r="S265" i="1"/>
  <c r="T265" i="1" s="1"/>
  <c r="S261" i="1"/>
  <c r="T261" i="1" s="1"/>
  <c r="S257" i="1"/>
  <c r="T257" i="1" s="1"/>
  <c r="S253" i="1"/>
  <c r="T253" i="1" s="1"/>
  <c r="S249" i="1"/>
  <c r="T249" i="1" s="1"/>
  <c r="S245" i="1"/>
  <c r="T245" i="1" s="1"/>
  <c r="S241" i="1"/>
  <c r="T241" i="1" s="1"/>
  <c r="S237" i="1"/>
  <c r="T237" i="1" s="1"/>
  <c r="S233" i="1"/>
  <c r="T233" i="1" s="1"/>
  <c r="S229" i="1"/>
  <c r="T229" i="1" s="1"/>
  <c r="S225" i="1"/>
  <c r="T225" i="1" s="1"/>
  <c r="S221" i="1"/>
  <c r="T221" i="1" s="1"/>
  <c r="S217" i="1"/>
  <c r="T217" i="1" s="1"/>
  <c r="S213" i="1"/>
  <c r="T213" i="1" s="1"/>
  <c r="S209" i="1"/>
  <c r="T209" i="1" s="1"/>
  <c r="S205" i="1"/>
  <c r="T205" i="1" s="1"/>
  <c r="S201" i="1"/>
  <c r="T201" i="1" s="1"/>
  <c r="S197" i="1"/>
  <c r="T197" i="1" s="1"/>
  <c r="S193" i="1"/>
  <c r="T193" i="1" s="1"/>
  <c r="S189" i="1"/>
  <c r="T189" i="1" s="1"/>
  <c r="S185" i="1"/>
  <c r="T185" i="1" s="1"/>
  <c r="S181" i="1"/>
  <c r="T181" i="1" s="1"/>
  <c r="S177" i="1"/>
  <c r="T177" i="1" s="1"/>
  <c r="S173" i="1"/>
  <c r="T173" i="1" s="1"/>
  <c r="S169" i="1"/>
  <c r="T169" i="1" s="1"/>
  <c r="S165" i="1"/>
  <c r="T165" i="1" s="1"/>
  <c r="S161" i="1"/>
  <c r="T161" i="1" s="1"/>
  <c r="S157" i="1"/>
  <c r="T157" i="1" s="1"/>
  <c r="S153" i="1"/>
  <c r="T153" i="1" s="1"/>
  <c r="S149" i="1"/>
  <c r="T149" i="1" s="1"/>
  <c r="S484" i="1"/>
  <c r="T484" i="1" s="1"/>
  <c r="S478" i="1"/>
  <c r="T478" i="1" s="1"/>
  <c r="S472" i="1"/>
  <c r="T472" i="1" s="1"/>
  <c r="S446" i="1"/>
  <c r="T446" i="1" s="1"/>
  <c r="S440" i="1"/>
  <c r="T440" i="1" s="1"/>
  <c r="S414" i="1"/>
  <c r="T414" i="1" s="1"/>
  <c r="S408" i="1"/>
  <c r="T408" i="1" s="1"/>
  <c r="S382" i="1"/>
  <c r="T382" i="1" s="1"/>
  <c r="S376" i="1"/>
  <c r="T376" i="1" s="1"/>
  <c r="S340" i="1"/>
  <c r="T340" i="1" s="1"/>
  <c r="S324" i="1"/>
  <c r="T324" i="1" s="1"/>
  <c r="S308" i="1"/>
  <c r="T308" i="1" s="1"/>
  <c r="S292" i="1"/>
  <c r="T292" i="1" s="1"/>
  <c r="S276" i="1"/>
  <c r="T276" i="1" s="1"/>
  <c r="S260" i="1"/>
  <c r="T260" i="1" s="1"/>
  <c r="S244" i="1"/>
  <c r="T244" i="1" s="1"/>
  <c r="S228" i="1"/>
  <c r="T228" i="1" s="1"/>
  <c r="S212" i="1"/>
  <c r="T212" i="1" s="1"/>
  <c r="S196" i="1"/>
  <c r="T196" i="1" s="1"/>
  <c r="S180" i="1"/>
  <c r="T180" i="1" s="1"/>
  <c r="S164" i="1"/>
  <c r="T164" i="1" s="1"/>
  <c r="S148" i="1"/>
  <c r="T148" i="1" s="1"/>
  <c r="S458" i="1"/>
  <c r="T458" i="1" s="1"/>
  <c r="S452" i="1"/>
  <c r="T452" i="1" s="1"/>
  <c r="S426" i="1"/>
  <c r="T426" i="1" s="1"/>
  <c r="S420" i="1"/>
  <c r="T420" i="1" s="1"/>
  <c r="S394" i="1"/>
  <c r="T394" i="1" s="1"/>
  <c r="S388" i="1"/>
  <c r="T388" i="1" s="1"/>
  <c r="S362" i="1"/>
  <c r="T362" i="1" s="1"/>
  <c r="S356" i="1"/>
  <c r="T356" i="1" s="1"/>
  <c r="S350" i="1"/>
  <c r="T350" i="1" s="1"/>
  <c r="S334" i="1"/>
  <c r="T334" i="1" s="1"/>
  <c r="S318" i="1"/>
  <c r="T318" i="1" s="1"/>
  <c r="S302" i="1"/>
  <c r="T302" i="1" s="1"/>
  <c r="S286" i="1"/>
  <c r="T286" i="1" s="1"/>
  <c r="S270" i="1"/>
  <c r="T270" i="1" s="1"/>
  <c r="S254" i="1"/>
  <c r="T254" i="1" s="1"/>
  <c r="S238" i="1"/>
  <c r="T238" i="1" s="1"/>
  <c r="S222" i="1"/>
  <c r="T222" i="1" s="1"/>
  <c r="S206" i="1"/>
  <c r="T206" i="1" s="1"/>
  <c r="S190" i="1"/>
  <c r="T190" i="1" s="1"/>
  <c r="S174" i="1"/>
  <c r="T174" i="1" s="1"/>
  <c r="S158" i="1"/>
  <c r="T158" i="1" s="1"/>
  <c r="S143" i="1"/>
  <c r="T143" i="1" s="1"/>
  <c r="S139" i="1"/>
  <c r="T139" i="1" s="1"/>
  <c r="S135" i="1"/>
  <c r="T135" i="1" s="1"/>
  <c r="S131" i="1"/>
  <c r="T131" i="1" s="1"/>
  <c r="S127" i="1"/>
  <c r="T127" i="1" s="1"/>
  <c r="S123" i="1"/>
  <c r="T123" i="1" s="1"/>
  <c r="S119" i="1"/>
  <c r="T119" i="1" s="1"/>
  <c r="S115" i="1"/>
  <c r="T115" i="1" s="1"/>
  <c r="S111" i="1"/>
  <c r="T111" i="1" s="1"/>
  <c r="S107" i="1"/>
  <c r="T107" i="1" s="1"/>
  <c r="S103" i="1"/>
  <c r="T103" i="1" s="1"/>
  <c r="S99" i="1"/>
  <c r="T99" i="1" s="1"/>
  <c r="S95" i="1"/>
  <c r="T95" i="1" s="1"/>
  <c r="S91" i="1"/>
  <c r="T91" i="1" s="1"/>
  <c r="S87" i="1"/>
  <c r="T87" i="1" s="1"/>
  <c r="S83" i="1"/>
  <c r="T83" i="1" s="1"/>
  <c r="S79" i="1"/>
  <c r="T79" i="1" s="1"/>
  <c r="S75" i="1"/>
  <c r="T75" i="1" s="1"/>
  <c r="S71" i="1"/>
  <c r="T71" i="1" s="1"/>
  <c r="S67" i="1"/>
  <c r="T67" i="1" s="1"/>
  <c r="S63" i="1"/>
  <c r="T63" i="1" s="1"/>
  <c r="S59" i="1"/>
  <c r="T59" i="1" s="1"/>
  <c r="S55" i="1"/>
  <c r="T55" i="1" s="1"/>
  <c r="S51" i="1"/>
  <c r="T51" i="1" s="1"/>
  <c r="S47" i="1"/>
  <c r="T47" i="1" s="1"/>
  <c r="S43" i="1"/>
  <c r="T43" i="1" s="1"/>
  <c r="S39" i="1"/>
  <c r="T39" i="1" s="1"/>
  <c r="S470" i="1"/>
  <c r="T470" i="1" s="1"/>
  <c r="S464" i="1"/>
  <c r="T464" i="1" s="1"/>
  <c r="S438" i="1"/>
  <c r="T438" i="1" s="1"/>
  <c r="S432" i="1"/>
  <c r="T432" i="1" s="1"/>
  <c r="S406" i="1"/>
  <c r="T406" i="1" s="1"/>
  <c r="S400" i="1"/>
  <c r="T400" i="1" s="1"/>
  <c r="S374" i="1"/>
  <c r="T374" i="1" s="1"/>
  <c r="S368" i="1"/>
  <c r="T368" i="1" s="1"/>
  <c r="S344" i="1"/>
  <c r="T344" i="1" s="1"/>
  <c r="S328" i="1"/>
  <c r="T328" i="1" s="1"/>
  <c r="S312" i="1"/>
  <c r="T312" i="1" s="1"/>
  <c r="S296" i="1"/>
  <c r="T296" i="1" s="1"/>
  <c r="S280" i="1"/>
  <c r="T280" i="1" s="1"/>
  <c r="S264" i="1"/>
  <c r="T264" i="1" s="1"/>
  <c r="S248" i="1"/>
  <c r="T248" i="1" s="1"/>
  <c r="S232" i="1"/>
  <c r="T232" i="1" s="1"/>
  <c r="S480" i="1"/>
  <c r="T480" i="1" s="1"/>
  <c r="S454" i="1"/>
  <c r="T454" i="1" s="1"/>
  <c r="S448" i="1"/>
  <c r="T448" i="1" s="1"/>
  <c r="S422" i="1"/>
  <c r="T422" i="1" s="1"/>
  <c r="S416" i="1"/>
  <c r="T416" i="1" s="1"/>
  <c r="S390" i="1"/>
  <c r="T390" i="1" s="1"/>
  <c r="S384" i="1"/>
  <c r="T384" i="1" s="1"/>
  <c r="S358" i="1"/>
  <c r="T358" i="1" s="1"/>
  <c r="S352" i="1"/>
  <c r="T352" i="1" s="1"/>
  <c r="S336" i="1"/>
  <c r="T336" i="1" s="1"/>
  <c r="S320" i="1"/>
  <c r="T320" i="1" s="1"/>
  <c r="S304" i="1"/>
  <c r="T304" i="1" s="1"/>
  <c r="S288" i="1"/>
  <c r="T288" i="1" s="1"/>
  <c r="S462" i="1"/>
  <c r="T462" i="1" s="1"/>
  <c r="S424" i="1"/>
  <c r="T424" i="1" s="1"/>
  <c r="S398" i="1"/>
  <c r="T398" i="1" s="1"/>
  <c r="S360" i="1"/>
  <c r="T360" i="1" s="1"/>
  <c r="S348" i="1"/>
  <c r="T348" i="1" s="1"/>
  <c r="S316" i="1"/>
  <c r="T316" i="1" s="1"/>
  <c r="S284" i="1"/>
  <c r="T284" i="1" s="1"/>
  <c r="S258" i="1"/>
  <c r="T258" i="1" s="1"/>
  <c r="S234" i="1"/>
  <c r="T234" i="1" s="1"/>
  <c r="S216" i="1"/>
  <c r="T216" i="1" s="1"/>
  <c r="S188" i="1"/>
  <c r="T188" i="1" s="1"/>
  <c r="S160" i="1"/>
  <c r="T160" i="1" s="1"/>
  <c r="S152" i="1"/>
  <c r="T152" i="1" s="1"/>
  <c r="S35" i="1"/>
  <c r="T35" i="1" s="1"/>
  <c r="S31" i="1"/>
  <c r="T31" i="1" s="1"/>
  <c r="S27" i="1"/>
  <c r="T27" i="1" s="1"/>
  <c r="S23" i="1"/>
  <c r="T23" i="1" s="1"/>
  <c r="S19" i="1"/>
  <c r="T19" i="1" s="1"/>
  <c r="S15" i="1"/>
  <c r="T15" i="1" s="1"/>
  <c r="S322" i="1"/>
  <c r="T322" i="1" s="1"/>
  <c r="S290" i="1"/>
  <c r="T290" i="1" s="1"/>
  <c r="S178" i="1"/>
  <c r="T178" i="1" s="1"/>
  <c r="S474" i="1"/>
  <c r="T474" i="1" s="1"/>
  <c r="S436" i="1"/>
  <c r="T436" i="1" s="1"/>
  <c r="S410" i="1"/>
  <c r="T410" i="1" s="1"/>
  <c r="S372" i="1"/>
  <c r="T372" i="1" s="1"/>
  <c r="S326" i="1"/>
  <c r="T326" i="1" s="1"/>
  <c r="S294" i="1"/>
  <c r="T294" i="1" s="1"/>
  <c r="S274" i="1"/>
  <c r="T274" i="1" s="1"/>
  <c r="S250" i="1"/>
  <c r="T250" i="1" s="1"/>
  <c r="S224" i="1"/>
  <c r="T224" i="1" s="1"/>
  <c r="S202" i="1"/>
  <c r="T202" i="1" s="1"/>
  <c r="S194" i="1"/>
  <c r="T194" i="1" s="1"/>
  <c r="S166" i="1"/>
  <c r="T166" i="1" s="1"/>
  <c r="S145" i="1"/>
  <c r="T145" i="1" s="1"/>
  <c r="S140" i="1"/>
  <c r="T140" i="1" s="1"/>
  <c r="S134" i="1"/>
  <c r="T134" i="1" s="1"/>
  <c r="S129" i="1"/>
  <c r="T129" i="1" s="1"/>
  <c r="S124" i="1"/>
  <c r="T124" i="1" s="1"/>
  <c r="S118" i="1"/>
  <c r="T118" i="1" s="1"/>
  <c r="S113" i="1"/>
  <c r="T113" i="1" s="1"/>
  <c r="S108" i="1"/>
  <c r="T108" i="1" s="1"/>
  <c r="S102" i="1"/>
  <c r="T102" i="1" s="1"/>
  <c r="S97" i="1"/>
  <c r="T97" i="1" s="1"/>
  <c r="S92" i="1"/>
  <c r="T92" i="1" s="1"/>
  <c r="S86" i="1"/>
  <c r="T86" i="1" s="1"/>
  <c r="S81" i="1"/>
  <c r="T81" i="1" s="1"/>
  <c r="S76" i="1"/>
  <c r="T76" i="1" s="1"/>
  <c r="S70" i="1"/>
  <c r="T70" i="1" s="1"/>
  <c r="S65" i="1"/>
  <c r="T65" i="1" s="1"/>
  <c r="S60" i="1"/>
  <c r="T60" i="1" s="1"/>
  <c r="S54" i="1"/>
  <c r="T54" i="1" s="1"/>
  <c r="S49" i="1"/>
  <c r="T49" i="1" s="1"/>
  <c r="S44" i="1"/>
  <c r="T44" i="1" s="1"/>
  <c r="S444" i="1"/>
  <c r="T444" i="1" s="1"/>
  <c r="S418" i="1"/>
  <c r="T418" i="1" s="1"/>
  <c r="S380" i="1"/>
  <c r="T380" i="1" s="1"/>
  <c r="S354" i="1"/>
  <c r="T354" i="1" s="1"/>
  <c r="S282" i="1"/>
  <c r="T282" i="1" s="1"/>
  <c r="S256" i="1"/>
  <c r="T256" i="1" s="1"/>
  <c r="S230" i="1"/>
  <c r="T230" i="1" s="1"/>
  <c r="S186" i="1"/>
  <c r="T186" i="1" s="1"/>
  <c r="S460" i="1"/>
  <c r="T460" i="1" s="1"/>
  <c r="S434" i="1"/>
  <c r="T434" i="1" s="1"/>
  <c r="S396" i="1"/>
  <c r="T396" i="1" s="1"/>
  <c r="S370" i="1"/>
  <c r="T370" i="1" s="1"/>
  <c r="S346" i="1"/>
  <c r="T346" i="1" s="1"/>
  <c r="S314" i="1"/>
  <c r="T314" i="1" s="1"/>
  <c r="S266" i="1"/>
  <c r="T266" i="1" s="1"/>
  <c r="S240" i="1"/>
  <c r="T240" i="1" s="1"/>
  <c r="S208" i="1"/>
  <c r="T208" i="1" s="1"/>
  <c r="S200" i="1"/>
  <c r="T200" i="1" s="1"/>
  <c r="S172" i="1"/>
  <c r="T172" i="1" s="1"/>
  <c r="S38" i="1"/>
  <c r="T38" i="1" s="1"/>
  <c r="S34" i="1"/>
  <c r="T34" i="1" s="1"/>
  <c r="S30" i="1"/>
  <c r="T30" i="1" s="1"/>
  <c r="S26" i="1"/>
  <c r="T26" i="1" s="1"/>
  <c r="S22" i="1"/>
  <c r="T22" i="1" s="1"/>
  <c r="S18" i="1"/>
  <c r="T18" i="1" s="1"/>
  <c r="S14" i="1"/>
  <c r="T14" i="1" s="1"/>
  <c r="S214" i="1"/>
  <c r="T214" i="1" s="1"/>
  <c r="S150" i="1"/>
  <c r="T150" i="1" s="1"/>
  <c r="S466" i="1"/>
  <c r="T466" i="1" s="1"/>
  <c r="S428" i="1"/>
  <c r="T428" i="1" s="1"/>
  <c r="S402" i="1"/>
  <c r="T402" i="1" s="1"/>
  <c r="S364" i="1"/>
  <c r="T364" i="1" s="1"/>
  <c r="S330" i="1"/>
  <c r="T330" i="1" s="1"/>
  <c r="S298" i="1"/>
  <c r="T298" i="1" s="1"/>
  <c r="S278" i="1"/>
  <c r="T278" i="1" s="1"/>
  <c r="S252" i="1"/>
  <c r="T252" i="1" s="1"/>
  <c r="S226" i="1"/>
  <c r="T226" i="1" s="1"/>
  <c r="S204" i="1"/>
  <c r="T204" i="1" s="1"/>
  <c r="S176" i="1"/>
  <c r="T176" i="1" s="1"/>
  <c r="S168" i="1"/>
  <c r="T168" i="1" s="1"/>
  <c r="S36" i="1"/>
  <c r="T36" i="1" s="1"/>
  <c r="S32" i="1"/>
  <c r="T32" i="1" s="1"/>
  <c r="S28" i="1"/>
  <c r="T28" i="1" s="1"/>
  <c r="S24" i="1"/>
  <c r="S20" i="1"/>
  <c r="T20" i="1" s="1"/>
  <c r="S16" i="1"/>
  <c r="T16" i="1" s="1"/>
  <c r="S476" i="1"/>
  <c r="T476" i="1" s="1"/>
  <c r="S450" i="1"/>
  <c r="T450" i="1" s="1"/>
  <c r="S412" i="1"/>
  <c r="T412" i="1" s="1"/>
  <c r="S386" i="1"/>
  <c r="T386" i="1" s="1"/>
  <c r="S338" i="1"/>
  <c r="T338" i="1" s="1"/>
  <c r="S306" i="1"/>
  <c r="T306" i="1" s="1"/>
  <c r="S268" i="1"/>
  <c r="T268" i="1" s="1"/>
  <c r="S242" i="1"/>
  <c r="T242" i="1" s="1"/>
  <c r="S456" i="1"/>
  <c r="T456" i="1" s="1"/>
  <c r="S272" i="1"/>
  <c r="T272" i="1" s="1"/>
  <c r="S192" i="1"/>
  <c r="T192" i="1" s="1"/>
  <c r="S141" i="1"/>
  <c r="T141" i="1" s="1"/>
  <c r="S130" i="1"/>
  <c r="T130" i="1" s="1"/>
  <c r="S120" i="1"/>
  <c r="T120" i="1" s="1"/>
  <c r="S109" i="1"/>
  <c r="T109" i="1" s="1"/>
  <c r="S98" i="1"/>
  <c r="T98" i="1" s="1"/>
  <c r="S88" i="1"/>
  <c r="T88" i="1" s="1"/>
  <c r="S77" i="1"/>
  <c r="T77" i="1" s="1"/>
  <c r="S66" i="1"/>
  <c r="T66" i="1" s="1"/>
  <c r="S56" i="1"/>
  <c r="T56" i="1" s="1"/>
  <c r="S45" i="1"/>
  <c r="T45" i="1" s="1"/>
  <c r="S404" i="1"/>
  <c r="T404" i="1" s="1"/>
  <c r="S310" i="1"/>
  <c r="T310" i="1" s="1"/>
  <c r="S236" i="1"/>
  <c r="T236" i="1" s="1"/>
  <c r="S210" i="1"/>
  <c r="T210" i="1" s="1"/>
  <c r="S154" i="1"/>
  <c r="T154" i="1" s="1"/>
  <c r="S138" i="1"/>
  <c r="T138" i="1" s="1"/>
  <c r="S128" i="1"/>
  <c r="T128" i="1" s="1"/>
  <c r="S117" i="1"/>
  <c r="T117" i="1" s="1"/>
  <c r="S106" i="1"/>
  <c r="T106" i="1" s="1"/>
  <c r="S96" i="1"/>
  <c r="T96" i="1" s="1"/>
  <c r="S85" i="1"/>
  <c r="T85" i="1" s="1"/>
  <c r="S74" i="1"/>
  <c r="T74" i="1" s="1"/>
  <c r="S64" i="1"/>
  <c r="T64" i="1" s="1"/>
  <c r="S53" i="1"/>
  <c r="T53" i="1" s="1"/>
  <c r="S42" i="1"/>
  <c r="T42" i="1" s="1"/>
  <c r="S392" i="1"/>
  <c r="T392" i="1" s="1"/>
  <c r="S300" i="1"/>
  <c r="T300" i="1" s="1"/>
  <c r="S170" i="1"/>
  <c r="T170" i="1" s="1"/>
  <c r="S33" i="1"/>
  <c r="T33" i="1" s="1"/>
  <c r="S25" i="1"/>
  <c r="T25" i="1" s="1"/>
  <c r="S17" i="1"/>
  <c r="T17" i="1" s="1"/>
  <c r="S442" i="1"/>
  <c r="T442" i="1" s="1"/>
  <c r="S342" i="1"/>
  <c r="T342" i="1" s="1"/>
  <c r="S262" i="1"/>
  <c r="T262" i="1" s="1"/>
  <c r="S184" i="1"/>
  <c r="T184" i="1" s="1"/>
  <c r="S137" i="1"/>
  <c r="T137" i="1" s="1"/>
  <c r="S126" i="1"/>
  <c r="T126" i="1" s="1"/>
  <c r="S116" i="1"/>
  <c r="T116" i="1" s="1"/>
  <c r="S105" i="1"/>
  <c r="T105" i="1" s="1"/>
  <c r="S94" i="1"/>
  <c r="T94" i="1" s="1"/>
  <c r="S84" i="1"/>
  <c r="T84" i="1" s="1"/>
  <c r="S73" i="1"/>
  <c r="T73" i="1" s="1"/>
  <c r="S62" i="1"/>
  <c r="T62" i="1" s="1"/>
  <c r="S52" i="1"/>
  <c r="T52" i="1" s="1"/>
  <c r="S41" i="1"/>
  <c r="T41" i="1" s="1"/>
  <c r="S430" i="1"/>
  <c r="T430" i="1" s="1"/>
  <c r="S220" i="1"/>
  <c r="T220" i="1" s="1"/>
  <c r="S146" i="1"/>
  <c r="T146" i="1" s="1"/>
  <c r="S125" i="1"/>
  <c r="T125" i="1" s="1"/>
  <c r="S104" i="1"/>
  <c r="T104" i="1" s="1"/>
  <c r="S82" i="1"/>
  <c r="T82" i="1" s="1"/>
  <c r="S50" i="1"/>
  <c r="T50" i="1" s="1"/>
  <c r="S378" i="1"/>
  <c r="T378" i="1" s="1"/>
  <c r="S182" i="1"/>
  <c r="T182" i="1" s="1"/>
  <c r="S133" i="1"/>
  <c r="T133" i="1" s="1"/>
  <c r="S90" i="1"/>
  <c r="T90" i="1" s="1"/>
  <c r="S48" i="1"/>
  <c r="T48" i="1" s="1"/>
  <c r="S218" i="1"/>
  <c r="T218" i="1" s="1"/>
  <c r="S37" i="1"/>
  <c r="T37" i="1" s="1"/>
  <c r="S13" i="1"/>
  <c r="T13" i="1" s="1"/>
  <c r="S332" i="1"/>
  <c r="T332" i="1" s="1"/>
  <c r="S136" i="1"/>
  <c r="T136" i="1" s="1"/>
  <c r="S93" i="1"/>
  <c r="T93" i="1" s="1"/>
  <c r="S61" i="1"/>
  <c r="T61" i="1" s="1"/>
  <c r="S144" i="1"/>
  <c r="T144" i="1" s="1"/>
  <c r="S112" i="1"/>
  <c r="T112" i="1" s="1"/>
  <c r="S69" i="1"/>
  <c r="T69" i="1" s="1"/>
  <c r="S366" i="1"/>
  <c r="T366" i="1" s="1"/>
  <c r="S246" i="1"/>
  <c r="T246" i="1" s="1"/>
  <c r="S29" i="1"/>
  <c r="T29" i="1" s="1"/>
  <c r="S114" i="1"/>
  <c r="T114" i="1" s="1"/>
  <c r="S72" i="1"/>
  <c r="T72" i="1" s="1"/>
  <c r="S40" i="1"/>
  <c r="T40" i="1" s="1"/>
  <c r="S162" i="1"/>
  <c r="T162" i="1" s="1"/>
  <c r="S122" i="1"/>
  <c r="T122" i="1" s="1"/>
  <c r="S101" i="1"/>
  <c r="T101" i="1" s="1"/>
  <c r="S80" i="1"/>
  <c r="T80" i="1" s="1"/>
  <c r="S58" i="1"/>
  <c r="T58" i="1" s="1"/>
  <c r="S198" i="1"/>
  <c r="T198" i="1" s="1"/>
  <c r="S21" i="1"/>
  <c r="T21" i="1" s="1"/>
  <c r="S468" i="1"/>
  <c r="T468" i="1" s="1"/>
  <c r="S156" i="1"/>
  <c r="T156" i="1" s="1"/>
  <c r="S142" i="1"/>
  <c r="T142" i="1" s="1"/>
  <c r="S132" i="1"/>
  <c r="T132" i="1" s="1"/>
  <c r="S121" i="1"/>
  <c r="T121" i="1" s="1"/>
  <c r="S110" i="1"/>
  <c r="T110" i="1" s="1"/>
  <c r="S100" i="1"/>
  <c r="T100" i="1" s="1"/>
  <c r="S89" i="1"/>
  <c r="T89" i="1" s="1"/>
  <c r="S78" i="1"/>
  <c r="T78" i="1" s="1"/>
  <c r="S68" i="1"/>
  <c r="T68" i="1" s="1"/>
  <c r="S57" i="1"/>
  <c r="T57" i="1" s="1"/>
  <c r="S46" i="1"/>
  <c r="T46" i="1" s="1"/>
  <c r="T24" i="1" l="1"/>
  <c r="V24" i="1"/>
  <c r="W24" i="1" s="1"/>
</calcChain>
</file>

<file path=xl/sharedStrings.xml><?xml version="1.0" encoding="utf-8"?>
<sst xmlns="http://schemas.openxmlformats.org/spreadsheetml/2006/main" count="507" uniqueCount="365">
  <si>
    <t>Ashbourne Industries, Inc.</t>
  </si>
  <si>
    <t>Summary</t>
  </si>
  <si>
    <t>Summary of pre tax net income</t>
  </si>
  <si>
    <t>Code</t>
  </si>
  <si>
    <t>Description</t>
  </si>
  <si>
    <t>Total</t>
  </si>
  <si>
    <t>NET INCOME (Gross Revenue less Expenses)</t>
  </si>
  <si>
    <t>Assets</t>
  </si>
  <si>
    <t>TAXES (Accounts 81000, 82000)</t>
  </si>
  <si>
    <t>Liabilities &amp; Equity</t>
  </si>
  <si>
    <t>Pre Tax Income</t>
  </si>
  <si>
    <t>Revenue</t>
  </si>
  <si>
    <t>40000 to 80000</t>
  </si>
  <si>
    <t>Expenses</t>
  </si>
  <si>
    <t>Account Name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</si>
  <si>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</si>
  <si>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</si>
  <si>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</si>
  <si>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</si>
  <si>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</si>
  <si>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</si>
  <si>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</si>
  <si>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</si>
  <si>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</si>
  <si>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</si>
  <si>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</si>
  <si>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</si>
  <si>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Materiality Threshold</t>
  </si>
  <si>
    <t>$ Materiality</t>
  </si>
  <si>
    <t xml:space="preserve">Material? </t>
  </si>
  <si>
    <t>Petty Cash -</t>
  </si>
  <si>
    <t>Operating Cash</t>
  </si>
  <si>
    <t>Master Cash A</t>
  </si>
  <si>
    <t>Cash Account</t>
  </si>
  <si>
    <t>Cash-Hourly P</t>
  </si>
  <si>
    <t>Cash-Salaried</t>
  </si>
  <si>
    <t>Investments</t>
  </si>
  <si>
    <t>Trade Account</t>
  </si>
  <si>
    <t>Trade A/R Run</t>
  </si>
  <si>
    <t>Allowance for</t>
  </si>
  <si>
    <t>Employee Acco</t>
  </si>
  <si>
    <t>Travel Advanc</t>
  </si>
  <si>
    <t>Misc A/R</t>
  </si>
  <si>
    <t>A/R - Freight</t>
  </si>
  <si>
    <t>A/R - Carl</t>
  </si>
  <si>
    <t>A/R-Refundabl</t>
  </si>
  <si>
    <t>A/R - Frank ind.</t>
  </si>
  <si>
    <t>A/R sarah co</t>
  </si>
  <si>
    <t>N/R - RS</t>
  </si>
  <si>
    <t>Note Receivab</t>
  </si>
  <si>
    <t>Accounts Rece</t>
  </si>
  <si>
    <t>Raw Materials</t>
  </si>
  <si>
    <t>Work In Progr</t>
  </si>
  <si>
    <t>WIP - LIFO Re</t>
  </si>
  <si>
    <t>Finished Good</t>
  </si>
  <si>
    <t>FG Green tuff</t>
  </si>
  <si>
    <t xml:space="preserve">FG Bio </t>
  </si>
  <si>
    <t>FG Flow</t>
  </si>
  <si>
    <t>Supply Invent</t>
  </si>
  <si>
    <t>material G</t>
  </si>
  <si>
    <t>Investment In GRG</t>
  </si>
  <si>
    <t>Prepaid Asset</t>
  </si>
  <si>
    <t>Prepaid W/C -</t>
  </si>
  <si>
    <t>Prepaid W/C</t>
  </si>
  <si>
    <t>PPD Ins - Pro</t>
  </si>
  <si>
    <t>PPD Ins - Aut</t>
  </si>
  <si>
    <t>PPD Ins - Gen</t>
  </si>
  <si>
    <t>PPD Ins - Dir</t>
  </si>
  <si>
    <t>PPD Ins - Con</t>
  </si>
  <si>
    <t>PPD Ins - Bon</t>
  </si>
  <si>
    <t>PPD Ins - Lif</t>
  </si>
  <si>
    <t>PPD Ins - Int</t>
  </si>
  <si>
    <t>PPD Ins - Pol</t>
  </si>
  <si>
    <t>Prepaid Rent</t>
  </si>
  <si>
    <t>Prepaid Railc</t>
  </si>
  <si>
    <t>Prepaid Softw</t>
  </si>
  <si>
    <t>Suspense Debi</t>
  </si>
  <si>
    <t>Prepaid Agent</t>
  </si>
  <si>
    <t>Prepaid Acqui</t>
  </si>
  <si>
    <t>Deferred Tax</t>
  </si>
  <si>
    <t>Deferred Fina</t>
  </si>
  <si>
    <t>PPD Freight -</t>
  </si>
  <si>
    <t>Deposits - Re</t>
  </si>
  <si>
    <t>Deposits - Mi</t>
  </si>
  <si>
    <t>Deposits - Ra</t>
  </si>
  <si>
    <t>Deposits - En</t>
  </si>
  <si>
    <t>Deposits - Ho</t>
  </si>
  <si>
    <t>Deposits - Ga</t>
  </si>
  <si>
    <t>Deposits - El</t>
  </si>
  <si>
    <t>Deferred Stri</t>
  </si>
  <si>
    <t>Prepaid Manag</t>
  </si>
  <si>
    <t>Depletable La</t>
  </si>
  <si>
    <t>Reclamation</t>
  </si>
  <si>
    <t>Land</t>
  </si>
  <si>
    <t>Land Improvem</t>
  </si>
  <si>
    <t>Mineral Right</t>
  </si>
  <si>
    <t>Buildings</t>
  </si>
  <si>
    <t>Machinery &amp; E</t>
  </si>
  <si>
    <t>Trucks &amp; Auto</t>
  </si>
  <si>
    <t>Furniture &amp; F</t>
  </si>
  <si>
    <t>Leasehold Imp</t>
  </si>
  <si>
    <t>Construction</t>
  </si>
  <si>
    <t>Accum. Depr.</t>
  </si>
  <si>
    <t>Accum.- Depl.</t>
  </si>
  <si>
    <t>Accum. Amort</t>
  </si>
  <si>
    <t>Investment in</t>
  </si>
  <si>
    <t>Split Dollar</t>
  </si>
  <si>
    <t>Notes Receiva</t>
  </si>
  <si>
    <t>Other Assets</t>
  </si>
  <si>
    <t>Intercompany</t>
  </si>
  <si>
    <t>Accum Amort.</t>
  </si>
  <si>
    <t>Patents</t>
  </si>
  <si>
    <t xml:space="preserve">Non-Compete </t>
  </si>
  <si>
    <t>Goodwill</t>
  </si>
  <si>
    <t>ASB technoogy investment</t>
  </si>
  <si>
    <t>Accum Amortiz</t>
  </si>
  <si>
    <t>Intangible - C</t>
  </si>
  <si>
    <t>Intangible - D</t>
  </si>
  <si>
    <t>Intangible - E</t>
  </si>
  <si>
    <t>Trade A/P Run</t>
  </si>
  <si>
    <t>Misc. A/P - F</t>
  </si>
  <si>
    <t>Accrued Trade</t>
  </si>
  <si>
    <t>Received Not</t>
  </si>
  <si>
    <t>Accrued Legal</t>
  </si>
  <si>
    <t>Accrued Profe</t>
  </si>
  <si>
    <t>Accrued Membe</t>
  </si>
  <si>
    <t>Accrued Manag</t>
  </si>
  <si>
    <t>Accrued Trans</t>
  </si>
  <si>
    <t>Accrued Demur</t>
  </si>
  <si>
    <t>Accrued Handl</t>
  </si>
  <si>
    <t>Accrued Unit</t>
  </si>
  <si>
    <t>Accrued Contr</t>
  </si>
  <si>
    <t>Accrued Commi</t>
  </si>
  <si>
    <t>Accrued Elect</t>
  </si>
  <si>
    <t>Purchased Ton</t>
  </si>
  <si>
    <t>Accrued Royal</t>
  </si>
  <si>
    <t>Accrued Recla</t>
  </si>
  <si>
    <t>Accrued Inter</t>
  </si>
  <si>
    <t>Accrued Payro</t>
  </si>
  <si>
    <t>Accrued 401(k</t>
  </si>
  <si>
    <t>Accrued Vacat</t>
  </si>
  <si>
    <t>Accrued Bonus</t>
  </si>
  <si>
    <t>Accrued Safet</t>
  </si>
  <si>
    <t>Accrued Stock</t>
  </si>
  <si>
    <t>Accrued SERP</t>
  </si>
  <si>
    <t>Accrued Pensi</t>
  </si>
  <si>
    <t>Group Health</t>
  </si>
  <si>
    <t>Termination L</t>
  </si>
  <si>
    <t>Accrued Flex</t>
  </si>
  <si>
    <t>Accrued Worke</t>
  </si>
  <si>
    <t>Worker's Comp</t>
  </si>
  <si>
    <t>Federal Withh</t>
  </si>
  <si>
    <t>State Withhol</t>
  </si>
  <si>
    <t>FICA - Employ</t>
  </si>
  <si>
    <t>Federal Unemp</t>
  </si>
  <si>
    <t>State Unemplo</t>
  </si>
  <si>
    <t>Union Dues</t>
  </si>
  <si>
    <t>Employee Cont</t>
  </si>
  <si>
    <t>Employee W/H</t>
  </si>
  <si>
    <t>Garnishments</t>
  </si>
  <si>
    <t>United Way</t>
  </si>
  <si>
    <t>Optional Life</t>
  </si>
  <si>
    <t>Wellness</t>
  </si>
  <si>
    <t>Sales &amp; Use T</t>
  </si>
  <si>
    <t>Sales Tax Pay</t>
  </si>
  <si>
    <t>Sales Tax - S</t>
  </si>
  <si>
    <t>Accrued Real</t>
  </si>
  <si>
    <t>Deposits Paya</t>
  </si>
  <si>
    <t>Accrued Earno</t>
  </si>
  <si>
    <t>Accrued Feder</t>
  </si>
  <si>
    <t>Accr. State I</t>
  </si>
  <si>
    <t>Current Porti</t>
  </si>
  <si>
    <t>Deferred Reve</t>
  </si>
  <si>
    <t>Line of Credi</t>
  </si>
  <si>
    <t>Long Term Por</t>
  </si>
  <si>
    <t>Long Term Deb</t>
  </si>
  <si>
    <t>LT Debt- Chey</t>
  </si>
  <si>
    <t>Capital Lease</t>
  </si>
  <si>
    <t>Deferred Inco</t>
  </si>
  <si>
    <t>Accrued FIN 4</t>
  </si>
  <si>
    <t>Deferred Comp</t>
  </si>
  <si>
    <t>Deferred Tech</t>
  </si>
  <si>
    <t>Other Liabili</t>
  </si>
  <si>
    <t>Accrued Swap</t>
  </si>
  <si>
    <t>Legal Reserve</t>
  </si>
  <si>
    <t>Other Notes P</t>
  </si>
  <si>
    <t>Minority Inte</t>
  </si>
  <si>
    <t>LT Reclamatio</t>
  </si>
  <si>
    <t>Common Stock</t>
  </si>
  <si>
    <t>Additional Pa</t>
  </si>
  <si>
    <t>Other Compreh</t>
  </si>
  <si>
    <t>Treasury Stoc</t>
  </si>
  <si>
    <t>Retained Earn</t>
  </si>
  <si>
    <t>Dividends/Dis</t>
  </si>
  <si>
    <t>Commission In</t>
  </si>
  <si>
    <t>Commission Ex</t>
  </si>
  <si>
    <t>Royalties/Reb</t>
  </si>
  <si>
    <t>Handling &amp; St</t>
  </si>
  <si>
    <t>Transportatio</t>
  </si>
  <si>
    <t>Transporation</t>
  </si>
  <si>
    <t>Product Sales</t>
  </si>
  <si>
    <t>Prdct.Sales-D</t>
  </si>
  <si>
    <t>Sales-C</t>
  </si>
  <si>
    <t>Sales-D</t>
  </si>
  <si>
    <t>Sales-E</t>
  </si>
  <si>
    <t>Sales - S</t>
  </si>
  <si>
    <t>Sales - Bio S</t>
  </si>
  <si>
    <t>Sales-W</t>
  </si>
  <si>
    <t>Packaging Sal</t>
  </si>
  <si>
    <t>Trade Discoun</t>
  </si>
  <si>
    <t>Allowances an</t>
  </si>
  <si>
    <t>COGS - Standa</t>
  </si>
  <si>
    <t>COGS-Std. Dir</t>
  </si>
  <si>
    <t>COGS - Supers</t>
  </si>
  <si>
    <t>COGS - Bio Se</t>
  </si>
  <si>
    <t>COGS - Additi</t>
  </si>
  <si>
    <t>COGS - Resins</t>
  </si>
  <si>
    <t>COGS - Frt Co</t>
  </si>
  <si>
    <t>COGS - Price</t>
  </si>
  <si>
    <t>COGS - Inv. L</t>
  </si>
  <si>
    <t>COGS - Proces</t>
  </si>
  <si>
    <t>COGS - Credit</t>
  </si>
  <si>
    <t>FG Inventory</t>
  </si>
  <si>
    <t>Bagging &amp; Other</t>
  </si>
  <si>
    <t>Other Bagging</t>
  </si>
  <si>
    <t>Raw Material</t>
  </si>
  <si>
    <t>Raw Material-</t>
  </si>
  <si>
    <t>Material Cost</t>
  </si>
  <si>
    <t>Resins</t>
  </si>
  <si>
    <t>Resins - B</t>
  </si>
  <si>
    <t>Additives</t>
  </si>
  <si>
    <t>Production La</t>
  </si>
  <si>
    <t>Safety Bonus</t>
  </si>
  <si>
    <t>Maintenence L</t>
  </si>
  <si>
    <t>Maintenance L</t>
  </si>
  <si>
    <t>Fringe - Work</t>
  </si>
  <si>
    <t>Fringe - Heal</t>
  </si>
  <si>
    <t>Fringe - Pens</t>
  </si>
  <si>
    <t>Fringe - FICA</t>
  </si>
  <si>
    <t>Fringe - 401K</t>
  </si>
  <si>
    <t>Contract Serv</t>
  </si>
  <si>
    <t>Trans. from T</t>
  </si>
  <si>
    <t>Electric Powe</t>
  </si>
  <si>
    <t>Dryer Fuel</t>
  </si>
  <si>
    <t>Bags</t>
  </si>
  <si>
    <t>Bulk Bags</t>
  </si>
  <si>
    <t>Pallets</t>
  </si>
  <si>
    <t>Other Product</t>
  </si>
  <si>
    <t>Other Prod Su</t>
  </si>
  <si>
    <t>Gas Oil &amp; Gre</t>
  </si>
  <si>
    <t>Explosives</t>
  </si>
  <si>
    <t xml:space="preserve">Maintenence </t>
  </si>
  <si>
    <t>Maint - Deliv</t>
  </si>
  <si>
    <t>Maint - Wear</t>
  </si>
  <si>
    <t>Maint - Garag</t>
  </si>
  <si>
    <t>Amortization</t>
  </si>
  <si>
    <t>Royalties</t>
  </si>
  <si>
    <t>Dumping</t>
  </si>
  <si>
    <t>Plant Travel/</t>
  </si>
  <si>
    <t>T &amp; E - Trave</t>
  </si>
  <si>
    <t>T &amp; E - Lodgi</t>
  </si>
  <si>
    <t>T &amp; E - Milea</t>
  </si>
  <si>
    <t>T &amp; E - Auto</t>
  </si>
  <si>
    <t>T &amp; E - Meals</t>
  </si>
  <si>
    <t>T &amp; E - Mtgs/</t>
  </si>
  <si>
    <t>Safety/Traini</t>
  </si>
  <si>
    <t>Safety Gloves</t>
  </si>
  <si>
    <t>Clothing Allo</t>
  </si>
  <si>
    <t>Safety Shoes</t>
  </si>
  <si>
    <t>Safety Glasse</t>
  </si>
  <si>
    <t>Tool Allowanc</t>
  </si>
  <si>
    <t>Training/Educ</t>
  </si>
  <si>
    <t>Safety Awards</t>
  </si>
  <si>
    <t>Employee Phys</t>
  </si>
  <si>
    <t>Plant Lab Sup</t>
  </si>
  <si>
    <t>Plant Lab Tes</t>
  </si>
  <si>
    <t>Miscellaneous</t>
  </si>
  <si>
    <t>Misc Exp - E</t>
  </si>
  <si>
    <t>Misc. Exp - O</t>
  </si>
  <si>
    <t>Misc. Exp - P</t>
  </si>
  <si>
    <t>Contract D</t>
  </si>
  <si>
    <t>Contract Del</t>
  </si>
  <si>
    <t>Demurrage</t>
  </si>
  <si>
    <t>Demurrage - I</t>
  </si>
  <si>
    <t>Demurrage - T</t>
  </si>
  <si>
    <t>Penalties - T</t>
  </si>
  <si>
    <t>Personnel - O</t>
  </si>
  <si>
    <t>Personnel Lab</t>
  </si>
  <si>
    <t>Fringe - Life</t>
  </si>
  <si>
    <t>Fringe - LTD</t>
  </si>
  <si>
    <t>Plant Custodi</t>
  </si>
  <si>
    <t>Other Taxes/L</t>
  </si>
  <si>
    <t>Real Estate T</t>
  </si>
  <si>
    <t>Other Taxes</t>
  </si>
  <si>
    <t>Operating Lic</t>
  </si>
  <si>
    <t>Duties</t>
  </si>
  <si>
    <t>Other Utiliti</t>
  </si>
  <si>
    <t>Communication</t>
  </si>
  <si>
    <t>Rail Car Rent</t>
  </si>
  <si>
    <t>Railcar Utili</t>
  </si>
  <si>
    <t>Railcar Maint</t>
  </si>
  <si>
    <t>Railcar Other</t>
  </si>
  <si>
    <t>Rentals/Lease</t>
  </si>
  <si>
    <t>Depletion</t>
  </si>
  <si>
    <t>Depr. - Land</t>
  </si>
  <si>
    <t>Amort - Miner</t>
  </si>
  <si>
    <t>Depr. - Build</t>
  </si>
  <si>
    <t>Depr. - Machi</t>
  </si>
  <si>
    <t>Depr. - Truck</t>
  </si>
  <si>
    <t>Depr. - Furni</t>
  </si>
  <si>
    <t>Depr. - Lease</t>
  </si>
  <si>
    <t>Insurance</t>
  </si>
  <si>
    <t>Salaries - S</t>
  </si>
  <si>
    <t>Professional</t>
  </si>
  <si>
    <t>Prof. Service</t>
  </si>
  <si>
    <t>Office Servic</t>
  </si>
  <si>
    <t>Software Main</t>
  </si>
  <si>
    <t>Pers. Serv. -</t>
  </si>
  <si>
    <t>Advertising/P</t>
  </si>
  <si>
    <t>Sales Demonst</t>
  </si>
  <si>
    <t>Trade Show Ex</t>
  </si>
  <si>
    <t>Office Suppli</t>
  </si>
  <si>
    <t>Postage</t>
  </si>
  <si>
    <t>T &amp; E - Speci</t>
  </si>
  <si>
    <t>Maint - Repai</t>
  </si>
  <si>
    <t>Maint. - Cust</t>
  </si>
  <si>
    <t>Auto Expense</t>
  </si>
  <si>
    <t>Utilities</t>
  </si>
  <si>
    <t>Depr. - Mach</t>
  </si>
  <si>
    <t>Depr. - Furn</t>
  </si>
  <si>
    <t>Taxes</t>
  </si>
  <si>
    <t>Real Estate a</t>
  </si>
  <si>
    <t>Misc. Expense</t>
  </si>
  <si>
    <t>Community Inv</t>
  </si>
  <si>
    <t>Misc. Exp - G</t>
  </si>
  <si>
    <t>Misc. Exp.-Br</t>
  </si>
  <si>
    <t>FML Overhead</t>
  </si>
  <si>
    <t>Managment Fee</t>
  </si>
  <si>
    <t>Management ex</t>
  </si>
  <si>
    <t>NBV of Asset</t>
  </si>
  <si>
    <t>Cash Proceeds</t>
  </si>
  <si>
    <t>Co. Housing I</t>
  </si>
  <si>
    <t>Misc. Other I</t>
  </si>
  <si>
    <t>Gains/Losses</t>
  </si>
  <si>
    <t>Gains/Losses-</t>
  </si>
  <si>
    <t>A/P Discounts</t>
  </si>
  <si>
    <t>Farm Income</t>
  </si>
  <si>
    <t>Rental Income</t>
  </si>
  <si>
    <t>Co. Housing E</t>
  </si>
  <si>
    <t>Misc. Other E</t>
  </si>
  <si>
    <t>Bad Debt Expense</t>
  </si>
  <si>
    <t xml:space="preserve">Non Recur </t>
  </si>
  <si>
    <t>Interest - Te</t>
  </si>
  <si>
    <t>Interest - Li</t>
  </si>
  <si>
    <t>Interest - Ag</t>
  </si>
  <si>
    <t>Interest - Sw</t>
  </si>
  <si>
    <t>Interest - Co</t>
  </si>
  <si>
    <t>Other Interes</t>
  </si>
  <si>
    <t>Interest Income</t>
  </si>
  <si>
    <t>Federal Income Tax</t>
  </si>
  <si>
    <t>State Income Tax</t>
  </si>
  <si>
    <t>2022 Monthly TrIal Balance</t>
  </si>
  <si>
    <t>Exceed Performance?</t>
  </si>
  <si>
    <t>Performance calculation</t>
  </si>
  <si>
    <t xml:space="preserve"> Performance Materiality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</si>
</sst>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0" fontId="1" fillId="0" borderId="3" xfId="0" applyFont="1" applyBorder="1"/>
    <xf numFmtId="0" fontId="2" fillId="0" borderId="7" xfId="0" applyFont="1" applyBorder="1"/>
    <xf numFmtId="3" fontId="1" fillId="0" borderId="8" xfId="0" applyNumberFormat="1" applyFont="1" applyBorder="1"/>
    <xf numFmtId="0" fontId="1" fillId="0" borderId="7" xfId="0" applyFont="1" applyBorder="1"/>
    <xf numFmtId="3" fontId="1" fillId="0" borderId="7" xfId="0" applyNumberFormat="1" applyFont="1" applyBorder="1"/>
    <xf numFmtId="16" fontId="1" fillId="0" borderId="0" xfId="0" applyNumberFormat="1" applyFont="1"/>
    <xf numFmtId="3" fontId="1" fillId="0" borderId="0" xfId="0" applyNumberFormat="1" applyFont="1"/>
    <xf numFmtId="3" fontId="2" fillId="0" borderId="8" xfId="0" applyNumberFormat="1" applyFont="1" applyBorder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9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1" fillId="0" borderId="8" xfId="0" applyFont="1" applyBorder="1"/>
    <xf numFmtId="0" fontId="3" fillId="0" borderId="8" xfId="0" applyFont="1" applyBorder="1"/>
    <xf numFmtId="0" fontId="1" fillId="0" borderId="0" xfId="0" applyFont="1"/>
    <xf numFmtId="0" fontId="0" fillId="0" borderId="0" xfId="0"/>
    <xf numFmtId="0" fontId="2" fillId="0" borderId="8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6"/>
  <sheetViews>
    <sheetView tabSelected="1" zoomScale="117" workbookViewId="0">
      <selection activeCell="C28" sqref="C28"/>
    </sheetView>
  </sheetViews>
  <sheetFormatPr defaultColWidth="14.44140625" defaultRowHeight="15" customHeight="1" x14ac:dyDescent="0.3"/>
  <cols>
    <col min="1" max="1" width="4.77734375" customWidth="1"/>
    <col min="3" max="3" width="19.6640625" customWidth="1"/>
    <col min="4" max="4" width="16.109375" customWidth="1"/>
    <col min="5" max="5" width="12.44140625" customWidth="1"/>
    <col min="6" max="15" width="14.44140625" hidden="1" customWidth="1"/>
    <col min="16" max="16" width="3.77734375" hidden="1" customWidth="1"/>
    <col min="21" max="21" width="11" customWidth="1"/>
    <col min="22" max="22" width="13.77734375" customWidth="1"/>
    <col min="23" max="23" width="12" customWidth="1"/>
  </cols>
  <sheetData>
    <row r="1" spans="1:27" ht="14.4" x14ac:dyDescent="0.3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 x14ac:dyDescent="0.3">
      <c r="A2" s="3"/>
      <c r="B2" s="4" t="s">
        <v>0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4" x14ac:dyDescent="0.3">
      <c r="A3" s="3"/>
      <c r="B3" s="4" t="s">
        <v>361</v>
      </c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4" x14ac:dyDescent="0.3">
      <c r="A4" s="1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4" x14ac:dyDescent="0.3">
      <c r="A5" s="3"/>
      <c r="B5" s="21" t="s">
        <v>1</v>
      </c>
      <c r="C5" s="22"/>
      <c r="D5" s="2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9" t="s">
        <v>2</v>
      </c>
      <c r="R5" s="27"/>
      <c r="S5" s="27"/>
      <c r="T5" s="27"/>
      <c r="U5" s="1"/>
      <c r="V5" s="1"/>
      <c r="W5" s="1"/>
      <c r="X5" s="1"/>
      <c r="Y5" s="1"/>
      <c r="Z5" s="1"/>
      <c r="AA5" s="1"/>
    </row>
    <row r="6" spans="1:27" ht="14.4" x14ac:dyDescent="0.3">
      <c r="A6" s="3"/>
      <c r="B6" s="6" t="s">
        <v>3</v>
      </c>
      <c r="C6" s="6" t="s">
        <v>4</v>
      </c>
      <c r="D6" s="6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4" t="s">
        <v>6</v>
      </c>
      <c r="R6" s="25"/>
      <c r="S6" s="25"/>
      <c r="T6" s="7">
        <f>D9+D10</f>
        <v>-97403378</v>
      </c>
      <c r="U6" s="1"/>
      <c r="V6" s="1"/>
      <c r="W6" s="1"/>
      <c r="X6" s="1"/>
      <c r="Y6" s="1"/>
      <c r="Z6" s="1"/>
      <c r="AA6" s="1"/>
    </row>
    <row r="7" spans="1:27" ht="14.4" x14ac:dyDescent="0.3">
      <c r="A7" s="3"/>
      <c r="B7" s="8">
        <v>10000</v>
      </c>
      <c r="C7" s="8" t="s">
        <v>7</v>
      </c>
      <c r="D7" s="9">
        <f>SUM(Q13:Q131)</f>
        <v>1263879322</v>
      </c>
      <c r="E7" s="1"/>
      <c r="F7" s="1"/>
      <c r="G7" s="1"/>
      <c r="H7" s="1"/>
      <c r="I7" s="1"/>
      <c r="J7" s="10"/>
      <c r="K7" s="1"/>
      <c r="L7" s="1"/>
      <c r="M7" s="1"/>
      <c r="N7" s="1"/>
      <c r="O7" s="1"/>
      <c r="P7" s="1"/>
      <c r="Q7" s="26" t="s">
        <v>8</v>
      </c>
      <c r="R7" s="27"/>
      <c r="S7" s="27"/>
      <c r="T7" s="11">
        <f>SUM(Q484:Q485)</f>
        <v>53958885</v>
      </c>
      <c r="U7" s="1"/>
      <c r="V7" s="1"/>
      <c r="W7" s="1"/>
      <c r="X7" s="1"/>
      <c r="Y7" s="1"/>
      <c r="Z7" s="1"/>
      <c r="AA7" s="1"/>
    </row>
    <row r="8" spans="1:27" ht="14.4" x14ac:dyDescent="0.3">
      <c r="A8" s="3"/>
      <c r="B8" s="8">
        <v>20000</v>
      </c>
      <c r="C8" s="8" t="s">
        <v>9</v>
      </c>
      <c r="D8" s="9">
        <f>SUM(Q132:Q226)</f>
        <v>-1263879320</v>
      </c>
      <c r="E8" s="1"/>
      <c r="F8" s="1"/>
      <c r="G8" s="1"/>
      <c r="H8" s="1"/>
      <c r="I8" s="1"/>
      <c r="J8" s="10"/>
      <c r="K8" s="1"/>
      <c r="L8" s="1"/>
      <c r="M8" s="1"/>
      <c r="N8" s="1"/>
      <c r="O8" s="1"/>
      <c r="P8" s="1"/>
      <c r="Q8" s="28" t="s">
        <v>10</v>
      </c>
      <c r="R8" s="25"/>
      <c r="S8" s="25"/>
      <c r="T8" s="12">
        <f>T6-T7</f>
        <v>-151362263</v>
      </c>
      <c r="U8" s="1"/>
      <c r="V8" s="1"/>
      <c r="W8" s="1"/>
      <c r="X8" s="1"/>
      <c r="Y8" s="1"/>
      <c r="Z8" s="1"/>
      <c r="AA8" s="1"/>
    </row>
    <row r="9" spans="1:27" ht="14.4" x14ac:dyDescent="0.3">
      <c r="A9" s="3"/>
      <c r="B9" s="8">
        <v>30000</v>
      </c>
      <c r="C9" s="8" t="s">
        <v>11</v>
      </c>
      <c r="D9" s="9">
        <f>SUM(Q227:Q244)</f>
        <v>-988385863</v>
      </c>
      <c r="E9" s="1"/>
      <c r="F9" s="1"/>
      <c r="G9" s="1"/>
      <c r="H9" s="1"/>
      <c r="I9" s="1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4" x14ac:dyDescent="0.3">
      <c r="A10" s="3"/>
      <c r="B10" s="8" t="s">
        <v>12</v>
      </c>
      <c r="C10" s="8" t="s">
        <v>13</v>
      </c>
      <c r="D10" s="9">
        <f>SUM(Q245:Q485)</f>
        <v>890982485</v>
      </c>
      <c r="E10" s="1"/>
      <c r="F10" s="1"/>
      <c r="G10" s="1"/>
      <c r="H10" s="1"/>
      <c r="I10" s="1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s="20" customFormat="1" ht="45" customHeight="1" x14ac:dyDescent="0.3">
      <c r="A12" s="18"/>
      <c r="B12" s="18"/>
      <c r="C12" s="18"/>
      <c r="D12" s="18"/>
      <c r="E12" s="19" t="s">
        <v>14</v>
      </c>
      <c r="F12" s="19" t="s">
        <v>15</v>
      </c>
      <c r="G12" s="19" t="s">
        <v>16</v>
      </c>
      <c r="H12" s="19" t="s">
        <v>17</v>
      </c>
      <c r="I12" s="19" t="s">
        <v>18</v>
      </c>
      <c r="J12" s="19" t="s">
        <v>19</v>
      </c>
      <c r="K12" s="19" t="s">
        <v>20</v>
      </c>
      <c r="L12" s="19" t="s">
        <v>21</v>
      </c>
      <c r="M12" s="19" t="s">
        <v>22</v>
      </c>
      <c r="N12" s="19" t="s">
        <v>23</v>
      </c>
      <c r="O12" s="19" t="s">
        <v>24</v>
      </c>
      <c r="P12" s="19" t="s">
        <v>25</v>
      </c>
      <c r="Q12" s="19" t="s">
        <v>26</v>
      </c>
      <c r="R12" s="19" t="s">
        <v>27</v>
      </c>
      <c r="S12" s="19" t="s">
        <v>28</v>
      </c>
      <c r="T12" s="19" t="s">
        <v>29</v>
      </c>
      <c r="U12" s="17" t="s">
        <v>364</v>
      </c>
      <c r="V12" s="17" t="s">
        <v>363</v>
      </c>
      <c r="W12" s="17" t="s">
        <v>362</v>
      </c>
      <c r="X12" s="18"/>
      <c r="Y12" s="18"/>
      <c r="Z12" s="18"/>
      <c r="AA12" s="18"/>
    </row>
    <row r="13" spans="1:27" ht="14.4" x14ac:dyDescent="0.3">
      <c r="A13" s="1"/>
      <c r="B13" s="1"/>
      <c r="C13" s="1"/>
      <c r="D13" s="13">
        <v>11100</v>
      </c>
      <c r="E13" s="1" t="s">
        <v>30</v>
      </c>
      <c r="F13" s="14">
        <v>9050</v>
      </c>
      <c r="G13" s="14">
        <v>7748</v>
      </c>
      <c r="H13" s="14">
        <v>8682</v>
      </c>
      <c r="I13" s="14">
        <v>8581</v>
      </c>
      <c r="J13" s="14">
        <v>8611</v>
      </c>
      <c r="K13" s="14">
        <v>7586</v>
      </c>
      <c r="L13" s="14">
        <v>7590</v>
      </c>
      <c r="M13" s="14">
        <v>8863</v>
      </c>
      <c r="N13" s="14">
        <v>8486</v>
      </c>
      <c r="O13" s="14">
        <v>8945</v>
      </c>
      <c r="P13" s="14">
        <v>8423</v>
      </c>
      <c r="Q13" s="14">
        <v>7119</v>
      </c>
      <c r="R13" s="15">
        <v>0.01</v>
      </c>
      <c r="S13" s="11">
        <f t="shared" ref="S13:S267" si="0">(R13*$T$8)*-1</f>
        <v>1513622.6300000001</v>
      </c>
      <c r="T13" s="1" t="str">
        <f t="shared" ref="T13:T267" si="1">IF(ABS(Q13)&gt;S13,"YES","NO")</f>
        <v>NO</v>
      </c>
      <c r="U13" s="15">
        <v>0.75</v>
      </c>
      <c r="V13" s="11">
        <f>S13*U13</f>
        <v>1135216.9725000001</v>
      </c>
      <c r="W13" s="1" t="str">
        <f>IF(ABS(Q13)&gt;V13,"Yes","No")</f>
        <v>No</v>
      </c>
      <c r="X13" s="1"/>
      <c r="Y13" s="1"/>
      <c r="Z13" s="1"/>
      <c r="AA13" s="1"/>
    </row>
    <row r="14" spans="1:27" ht="14.4" x14ac:dyDescent="0.3">
      <c r="A14" s="1"/>
      <c r="B14" s="1"/>
      <c r="C14" s="1"/>
      <c r="D14" s="13">
        <v>11101</v>
      </c>
      <c r="E14" s="1" t="s">
        <v>30</v>
      </c>
      <c r="F14" s="14">
        <v>1976</v>
      </c>
      <c r="G14" s="14">
        <v>1971</v>
      </c>
      <c r="H14" s="14">
        <v>1987</v>
      </c>
      <c r="I14" s="14">
        <v>1994</v>
      </c>
      <c r="J14" s="14">
        <v>1978</v>
      </c>
      <c r="K14" s="14">
        <v>1962</v>
      </c>
      <c r="L14" s="14">
        <v>2474</v>
      </c>
      <c r="M14" s="14">
        <v>2460</v>
      </c>
      <c r="N14" s="14">
        <v>2467</v>
      </c>
      <c r="O14" s="14">
        <v>2471</v>
      </c>
      <c r="P14" s="14">
        <v>2465</v>
      </c>
      <c r="Q14" s="14">
        <v>2465</v>
      </c>
      <c r="R14" s="15">
        <v>0.01</v>
      </c>
      <c r="S14" s="11">
        <f t="shared" si="0"/>
        <v>1513622.6300000001</v>
      </c>
      <c r="T14" s="1" t="str">
        <f t="shared" si="1"/>
        <v>NO</v>
      </c>
      <c r="U14" s="15">
        <v>0.75</v>
      </c>
      <c r="V14" s="11">
        <f t="shared" ref="V14:V77" si="2">S14*U14</f>
        <v>1135216.9725000001</v>
      </c>
      <c r="W14" s="1" t="str">
        <f t="shared" ref="W14:W77" si="3">IF(ABS(Q14)&gt;V14,"Yes","No")</f>
        <v>No</v>
      </c>
      <c r="X14" s="1"/>
      <c r="Y14" s="1"/>
      <c r="Z14" s="1"/>
      <c r="AA14" s="1"/>
    </row>
    <row r="15" spans="1:27" ht="14.4" x14ac:dyDescent="0.3">
      <c r="A15" s="1"/>
      <c r="B15" s="1"/>
      <c r="C15" s="1"/>
      <c r="D15" s="13">
        <v>11200</v>
      </c>
      <c r="E15" s="1" t="s">
        <v>31</v>
      </c>
      <c r="F15" s="14">
        <v>-7874845</v>
      </c>
      <c r="G15" s="14">
        <v>-4643288</v>
      </c>
      <c r="H15" s="14">
        <v>-5757055</v>
      </c>
      <c r="I15" s="14">
        <v>-2137176</v>
      </c>
      <c r="J15" s="14">
        <v>-5961218</v>
      </c>
      <c r="K15" s="14">
        <v>-2857075</v>
      </c>
      <c r="L15" s="14">
        <v>-3261429</v>
      </c>
      <c r="M15" s="14">
        <v>-7817733</v>
      </c>
      <c r="N15" s="14">
        <v>-2409534</v>
      </c>
      <c r="O15" s="14">
        <v>-10187497</v>
      </c>
      <c r="P15" s="14">
        <v>-2498708</v>
      </c>
      <c r="Q15" s="14">
        <v>-17908447</v>
      </c>
      <c r="R15" s="15">
        <v>0.01</v>
      </c>
      <c r="S15" s="11">
        <f t="shared" si="0"/>
        <v>1513622.6300000001</v>
      </c>
      <c r="T15" s="1" t="str">
        <f t="shared" si="1"/>
        <v>YES</v>
      </c>
      <c r="U15" s="15">
        <v>0.75</v>
      </c>
      <c r="V15" s="11">
        <f t="shared" si="2"/>
        <v>1135216.9725000001</v>
      </c>
      <c r="W15" s="1" t="str">
        <f t="shared" si="3"/>
        <v>Yes</v>
      </c>
      <c r="X15" s="1"/>
      <c r="Y15" s="1"/>
      <c r="Z15" s="1"/>
      <c r="AA15" s="1"/>
    </row>
    <row r="16" spans="1:27" ht="14.4" x14ac:dyDescent="0.3">
      <c r="A16" s="1"/>
      <c r="B16" s="1"/>
      <c r="C16" s="1"/>
      <c r="D16" s="13">
        <v>11210</v>
      </c>
      <c r="E16" s="1" t="s">
        <v>32</v>
      </c>
      <c r="F16" s="14">
        <v>16165326</v>
      </c>
      <c r="G16" s="14">
        <v>21188262</v>
      </c>
      <c r="H16" s="14">
        <v>18398417</v>
      </c>
      <c r="I16" s="14">
        <v>24114785</v>
      </c>
      <c r="J16" s="14">
        <v>15920490</v>
      </c>
      <c r="K16" s="14">
        <v>14969341</v>
      </c>
      <c r="L16" s="14">
        <v>18423829</v>
      </c>
      <c r="M16" s="14">
        <v>21098213</v>
      </c>
      <c r="N16" s="14">
        <v>23669855</v>
      </c>
      <c r="O16" s="14">
        <v>13557542</v>
      </c>
      <c r="P16" s="14">
        <v>16629717</v>
      </c>
      <c r="Q16" s="14">
        <v>11258045</v>
      </c>
      <c r="R16" s="15">
        <v>0.01</v>
      </c>
      <c r="S16" s="11">
        <f t="shared" si="0"/>
        <v>1513622.6300000001</v>
      </c>
      <c r="T16" s="1" t="str">
        <f t="shared" si="1"/>
        <v>YES</v>
      </c>
      <c r="U16" s="15">
        <v>0.75</v>
      </c>
      <c r="V16" s="11">
        <f t="shared" si="2"/>
        <v>1135216.9725000001</v>
      </c>
      <c r="W16" s="1" t="str">
        <f t="shared" si="3"/>
        <v>Yes</v>
      </c>
      <c r="X16" s="1"/>
      <c r="Y16" s="1"/>
      <c r="Z16" s="1"/>
      <c r="AA16" s="1"/>
    </row>
    <row r="17" spans="1:27" ht="14.4" x14ac:dyDescent="0.3">
      <c r="A17" s="1"/>
      <c r="B17" s="1"/>
      <c r="C17" s="1"/>
      <c r="D17" s="13">
        <v>11211</v>
      </c>
      <c r="E17" s="1" t="s">
        <v>32</v>
      </c>
      <c r="F17" s="14">
        <v>40371</v>
      </c>
      <c r="G17" s="14">
        <v>93502</v>
      </c>
      <c r="H17" s="14">
        <v>35082</v>
      </c>
      <c r="I17" s="14">
        <v>62029</v>
      </c>
      <c r="J17" s="14">
        <v>99813</v>
      </c>
      <c r="K17" s="14">
        <v>67252</v>
      </c>
      <c r="L17" s="14">
        <v>132494</v>
      </c>
      <c r="M17" s="14">
        <v>137579</v>
      </c>
      <c r="N17" s="14">
        <v>67784</v>
      </c>
      <c r="O17" s="14">
        <v>96060</v>
      </c>
      <c r="P17" s="14">
        <v>50239</v>
      </c>
      <c r="Q17" s="14">
        <v>44561</v>
      </c>
      <c r="R17" s="15">
        <v>0.01</v>
      </c>
      <c r="S17" s="11">
        <f t="shared" si="0"/>
        <v>1513622.6300000001</v>
      </c>
      <c r="T17" s="1" t="str">
        <f t="shared" si="1"/>
        <v>NO</v>
      </c>
      <c r="U17" s="15">
        <v>0.75</v>
      </c>
      <c r="V17" s="11">
        <f t="shared" si="2"/>
        <v>1135216.9725000001</v>
      </c>
      <c r="W17" s="1" t="str">
        <f t="shared" si="3"/>
        <v>No</v>
      </c>
      <c r="X17" s="1"/>
      <c r="Y17" s="1"/>
      <c r="Z17" s="1"/>
      <c r="AA17" s="1"/>
    </row>
    <row r="18" spans="1:27" ht="14.4" x14ac:dyDescent="0.3">
      <c r="A18" s="1"/>
      <c r="B18" s="1"/>
      <c r="C18" s="1"/>
      <c r="D18" s="13">
        <v>11212</v>
      </c>
      <c r="E18" s="1" t="s">
        <v>33</v>
      </c>
      <c r="F18" s="13">
        <v>24</v>
      </c>
      <c r="G18" s="13">
        <v>23</v>
      </c>
      <c r="H18" s="13">
        <v>24</v>
      </c>
      <c r="I18" s="13">
        <v>25</v>
      </c>
      <c r="J18" s="13">
        <v>24</v>
      </c>
      <c r="K18" s="13">
        <v>23</v>
      </c>
      <c r="L18" s="13">
        <v>24</v>
      </c>
      <c r="M18" s="13">
        <v>23</v>
      </c>
      <c r="N18" s="13">
        <v>23</v>
      </c>
      <c r="O18" s="13">
        <v>23</v>
      </c>
      <c r="P18" s="13">
        <v>23</v>
      </c>
      <c r="Q18" s="1"/>
      <c r="R18" s="15">
        <v>0.01</v>
      </c>
      <c r="S18" s="11">
        <f t="shared" si="0"/>
        <v>1513622.6300000001</v>
      </c>
      <c r="T18" s="1" t="str">
        <f t="shared" si="1"/>
        <v>NO</v>
      </c>
      <c r="U18" s="15">
        <v>0.75</v>
      </c>
      <c r="V18" s="11">
        <f t="shared" si="2"/>
        <v>1135216.9725000001</v>
      </c>
      <c r="W18" s="1" t="str">
        <f t="shared" si="3"/>
        <v>No</v>
      </c>
      <c r="X18" s="1"/>
      <c r="Y18" s="1"/>
      <c r="Z18" s="1"/>
      <c r="AA18" s="1"/>
    </row>
    <row r="19" spans="1:27" ht="14.4" x14ac:dyDescent="0.3">
      <c r="A19" s="1"/>
      <c r="B19" s="1"/>
      <c r="C19" s="1"/>
      <c r="D19" s="13">
        <v>11310</v>
      </c>
      <c r="E19" s="1" t="s">
        <v>34</v>
      </c>
      <c r="F19" s="1"/>
      <c r="G19" s="1"/>
      <c r="H19" s="1"/>
      <c r="I19" s="1"/>
      <c r="J19" s="1"/>
      <c r="K19" s="1"/>
      <c r="L19" s="14">
        <v>-15701</v>
      </c>
      <c r="M19" s="14">
        <v>-15701</v>
      </c>
      <c r="N19" s="14">
        <v>-15701</v>
      </c>
      <c r="O19" s="14">
        <v>-15701</v>
      </c>
      <c r="P19" s="14">
        <v>-305221</v>
      </c>
      <c r="Q19" s="1"/>
      <c r="R19" s="15">
        <v>0.01</v>
      </c>
      <c r="S19" s="11">
        <f t="shared" si="0"/>
        <v>1513622.6300000001</v>
      </c>
      <c r="T19" s="1" t="str">
        <f t="shared" si="1"/>
        <v>NO</v>
      </c>
      <c r="U19" s="15">
        <v>0.75</v>
      </c>
      <c r="V19" s="11">
        <f t="shared" si="2"/>
        <v>1135216.9725000001</v>
      </c>
      <c r="W19" s="1" t="str">
        <f t="shared" si="3"/>
        <v>No</v>
      </c>
      <c r="X19" s="1"/>
      <c r="Y19" s="1"/>
      <c r="Z19" s="1"/>
      <c r="AA19" s="1"/>
    </row>
    <row r="20" spans="1:27" ht="14.4" x14ac:dyDescent="0.3">
      <c r="A20" s="1"/>
      <c r="B20" s="1"/>
      <c r="C20" s="1"/>
      <c r="D20" s="13">
        <v>11311</v>
      </c>
      <c r="E20" s="1" t="s">
        <v>35</v>
      </c>
      <c r="F20" s="14">
        <v>421798</v>
      </c>
      <c r="G20" s="14">
        <v>382824</v>
      </c>
      <c r="H20" s="14">
        <v>-32837</v>
      </c>
      <c r="I20" s="14">
        <v>-27007</v>
      </c>
      <c r="J20" s="14">
        <v>-9508</v>
      </c>
      <c r="K20" s="14">
        <v>6629</v>
      </c>
      <c r="L20" s="14">
        <v>-5722</v>
      </c>
      <c r="M20" s="14">
        <v>-10925</v>
      </c>
      <c r="N20" s="14">
        <v>-6371</v>
      </c>
      <c r="O20" s="14">
        <v>675131</v>
      </c>
      <c r="P20" s="14">
        <v>151836</v>
      </c>
      <c r="Q20" s="14">
        <v>-85287</v>
      </c>
      <c r="R20" s="15">
        <v>0.01</v>
      </c>
      <c r="S20" s="11">
        <f t="shared" si="0"/>
        <v>1513622.6300000001</v>
      </c>
      <c r="T20" s="1" t="str">
        <f t="shared" si="1"/>
        <v>NO</v>
      </c>
      <c r="U20" s="15">
        <v>0.75</v>
      </c>
      <c r="V20" s="11">
        <f t="shared" si="2"/>
        <v>1135216.9725000001</v>
      </c>
      <c r="W20" s="1" t="str">
        <f t="shared" si="3"/>
        <v>No</v>
      </c>
      <c r="X20" s="1"/>
      <c r="Y20" s="1"/>
      <c r="Z20" s="1"/>
      <c r="AA20" s="1"/>
    </row>
    <row r="21" spans="1:27" ht="14.4" x14ac:dyDescent="0.3">
      <c r="A21" s="1"/>
      <c r="B21" s="1"/>
      <c r="C21" s="1"/>
      <c r="D21" s="13">
        <v>11600</v>
      </c>
      <c r="E21" s="1" t="s">
        <v>36</v>
      </c>
      <c r="F21" s="14">
        <v>12258987</v>
      </c>
      <c r="G21" s="14">
        <v>17258987</v>
      </c>
      <c r="H21" s="14">
        <v>25258987</v>
      </c>
      <c r="I21" s="14">
        <v>258987</v>
      </c>
      <c r="J21" s="14">
        <v>5258987</v>
      </c>
      <c r="K21" s="14">
        <v>258987</v>
      </c>
      <c r="L21" s="14">
        <v>258987</v>
      </c>
      <c r="M21" s="14">
        <v>258987</v>
      </c>
      <c r="N21" s="14">
        <v>258987</v>
      </c>
      <c r="O21" s="14">
        <v>258987</v>
      </c>
      <c r="P21" s="14">
        <v>258987</v>
      </c>
      <c r="Q21" s="14">
        <v>10283165</v>
      </c>
      <c r="R21" s="15">
        <v>0.01</v>
      </c>
      <c r="S21" s="11">
        <f t="shared" si="0"/>
        <v>1513622.6300000001</v>
      </c>
      <c r="T21" s="1" t="str">
        <f t="shared" si="1"/>
        <v>YES</v>
      </c>
      <c r="U21" s="15">
        <v>0.75</v>
      </c>
      <c r="V21" s="11">
        <f t="shared" si="2"/>
        <v>1135216.9725000001</v>
      </c>
      <c r="W21" s="1" t="str">
        <f t="shared" si="3"/>
        <v>Yes</v>
      </c>
      <c r="X21" s="1"/>
      <c r="Y21" s="1"/>
      <c r="Z21" s="1"/>
      <c r="AA21" s="1"/>
    </row>
    <row r="22" spans="1:27" ht="14.4" x14ac:dyDescent="0.3">
      <c r="A22" s="1"/>
      <c r="B22" s="1"/>
      <c r="C22" s="1"/>
      <c r="D22" s="13">
        <v>12100</v>
      </c>
      <c r="E22" s="1" t="s">
        <v>37</v>
      </c>
      <c r="F22" s="14">
        <v>115564532</v>
      </c>
      <c r="G22" s="14">
        <v>129192775</v>
      </c>
      <c r="H22" s="14">
        <v>136490109</v>
      </c>
      <c r="I22" s="14">
        <v>140704916</v>
      </c>
      <c r="J22" s="14">
        <v>129506544</v>
      </c>
      <c r="K22" s="14">
        <v>130653456</v>
      </c>
      <c r="L22" s="14">
        <v>128611831</v>
      </c>
      <c r="M22" s="14">
        <v>127793014</v>
      </c>
      <c r="N22" s="14">
        <v>156940283</v>
      </c>
      <c r="O22" s="14">
        <v>161082803</v>
      </c>
      <c r="P22" s="14">
        <v>153604205</v>
      </c>
      <c r="Q22" s="14">
        <v>138207286</v>
      </c>
      <c r="R22" s="15">
        <v>0.01</v>
      </c>
      <c r="S22" s="11">
        <f t="shared" si="0"/>
        <v>1513622.6300000001</v>
      </c>
      <c r="T22" s="1" t="str">
        <f t="shared" si="1"/>
        <v>YES</v>
      </c>
      <c r="U22" s="15">
        <v>0.75</v>
      </c>
      <c r="V22" s="11">
        <f t="shared" si="2"/>
        <v>1135216.9725000001</v>
      </c>
      <c r="W22" s="1" t="str">
        <f t="shared" si="3"/>
        <v>Yes</v>
      </c>
      <c r="X22" s="1"/>
      <c r="Y22" s="1"/>
      <c r="Z22" s="1"/>
      <c r="AA22" s="1"/>
    </row>
    <row r="23" spans="1:27" ht="14.4" x14ac:dyDescent="0.3">
      <c r="A23" s="1"/>
      <c r="B23" s="1"/>
      <c r="C23" s="1"/>
      <c r="D23" s="13">
        <v>12105</v>
      </c>
      <c r="E23" s="1" t="s">
        <v>38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4">
        <v>891385</v>
      </c>
      <c r="Q23" s="1"/>
      <c r="R23" s="15">
        <v>0.01</v>
      </c>
      <c r="S23" s="11">
        <f t="shared" si="0"/>
        <v>1513622.6300000001</v>
      </c>
      <c r="T23" s="1" t="str">
        <f t="shared" si="1"/>
        <v>NO</v>
      </c>
      <c r="U23" s="15">
        <v>0.75</v>
      </c>
      <c r="V23" s="11">
        <f t="shared" si="2"/>
        <v>1135216.9725000001</v>
      </c>
      <c r="W23" s="1" t="str">
        <f t="shared" si="3"/>
        <v>No</v>
      </c>
      <c r="X23" s="1"/>
      <c r="Y23" s="1"/>
      <c r="Z23" s="1"/>
      <c r="AA23" s="1"/>
    </row>
    <row r="24" spans="1:27" ht="14.4" x14ac:dyDescent="0.3">
      <c r="A24" s="1"/>
      <c r="B24" s="1"/>
      <c r="C24" s="1"/>
      <c r="D24" s="13">
        <v>12150</v>
      </c>
      <c r="E24" s="1" t="s">
        <v>39</v>
      </c>
      <c r="F24" s="14">
        <v>-1106909</v>
      </c>
      <c r="G24" s="14">
        <v>-1442468</v>
      </c>
      <c r="H24" s="14">
        <v>-1425566</v>
      </c>
      <c r="I24" s="14">
        <v>-1317579</v>
      </c>
      <c r="J24" s="14">
        <v>-1380823</v>
      </c>
      <c r="K24" s="14">
        <v>-1348928</v>
      </c>
      <c r="L24" s="14">
        <v>-928255</v>
      </c>
      <c r="M24" s="14">
        <v>-952138</v>
      </c>
      <c r="N24" s="14">
        <v>-915048</v>
      </c>
      <c r="O24" s="14">
        <v>-2974134</v>
      </c>
      <c r="P24" s="14">
        <v>-2946127</v>
      </c>
      <c r="Q24" s="14">
        <v>-796317</v>
      </c>
      <c r="R24" s="15">
        <v>0.01</v>
      </c>
      <c r="S24" s="11">
        <f t="shared" si="0"/>
        <v>1513622.6300000001</v>
      </c>
      <c r="T24" s="1" t="str">
        <f t="shared" si="1"/>
        <v>NO</v>
      </c>
      <c r="U24" s="15">
        <v>0.75</v>
      </c>
      <c r="V24" s="11">
        <f t="shared" si="2"/>
        <v>1135216.9725000001</v>
      </c>
      <c r="W24" s="1" t="str">
        <f t="shared" si="3"/>
        <v>No</v>
      </c>
      <c r="X24" s="1"/>
      <c r="Y24" s="1"/>
      <c r="Z24" s="1"/>
      <c r="AA24" s="1"/>
    </row>
    <row r="25" spans="1:27" ht="14.4" x14ac:dyDescent="0.3">
      <c r="A25" s="1"/>
      <c r="B25" s="1"/>
      <c r="C25" s="1"/>
      <c r="D25" s="13">
        <v>12200</v>
      </c>
      <c r="E25" s="1" t="s">
        <v>40</v>
      </c>
      <c r="F25" s="13">
        <v>-340</v>
      </c>
      <c r="G25" s="13">
        <v>-368</v>
      </c>
      <c r="H25" s="13">
        <v>-409</v>
      </c>
      <c r="I25" s="13">
        <v>-440</v>
      </c>
      <c r="J25" s="14">
        <v>-715741</v>
      </c>
      <c r="K25" s="13">
        <v>-580</v>
      </c>
      <c r="L25" s="13">
        <v>-611</v>
      </c>
      <c r="M25" s="13">
        <v>-611</v>
      </c>
      <c r="N25" s="1"/>
      <c r="O25" s="1"/>
      <c r="P25" s="14">
        <v>328827</v>
      </c>
      <c r="Q25" s="1"/>
      <c r="R25" s="15">
        <v>0.01</v>
      </c>
      <c r="S25" s="11">
        <f t="shared" si="0"/>
        <v>1513622.6300000001</v>
      </c>
      <c r="T25" s="1" t="str">
        <f t="shared" si="1"/>
        <v>NO</v>
      </c>
      <c r="U25" s="15">
        <v>0.75</v>
      </c>
      <c r="V25" s="11">
        <f t="shared" si="2"/>
        <v>1135216.9725000001</v>
      </c>
      <c r="W25" s="1" t="str">
        <f t="shared" si="3"/>
        <v>No</v>
      </c>
      <c r="X25" s="1"/>
      <c r="Y25" s="1"/>
      <c r="Z25" s="1"/>
      <c r="AA25" s="1"/>
    </row>
    <row r="26" spans="1:27" ht="14.4" x14ac:dyDescent="0.3">
      <c r="A26" s="1"/>
      <c r="B26" s="1"/>
      <c r="C26" s="1"/>
      <c r="D26" s="13">
        <v>12510</v>
      </c>
      <c r="E26" s="1" t="s">
        <v>41</v>
      </c>
      <c r="F26" s="14">
        <v>23684</v>
      </c>
      <c r="G26" s="14">
        <v>20729</v>
      </c>
      <c r="H26" s="14">
        <v>20481</v>
      </c>
      <c r="I26" s="14">
        <v>20924</v>
      </c>
      <c r="J26" s="14">
        <v>18277</v>
      </c>
      <c r="K26" s="14">
        <v>14960</v>
      </c>
      <c r="L26" s="14">
        <v>13835</v>
      </c>
      <c r="M26" s="14">
        <v>20035</v>
      </c>
      <c r="N26" s="14">
        <v>19915</v>
      </c>
      <c r="O26" s="14">
        <v>20943</v>
      </c>
      <c r="P26" s="14">
        <v>21215</v>
      </c>
      <c r="Q26" s="14">
        <v>18579</v>
      </c>
      <c r="R26" s="15">
        <v>0.01</v>
      </c>
      <c r="S26" s="11">
        <f t="shared" si="0"/>
        <v>1513622.6300000001</v>
      </c>
      <c r="T26" s="1" t="str">
        <f t="shared" si="1"/>
        <v>NO</v>
      </c>
      <c r="U26" s="15">
        <v>0.75</v>
      </c>
      <c r="V26" s="11">
        <f t="shared" si="2"/>
        <v>1135216.9725000001</v>
      </c>
      <c r="W26" s="1" t="str">
        <f t="shared" si="3"/>
        <v>No</v>
      </c>
      <c r="X26" s="1"/>
      <c r="Y26" s="1"/>
      <c r="Z26" s="1"/>
      <c r="AA26" s="1"/>
    </row>
    <row r="27" spans="1:27" ht="14.4" x14ac:dyDescent="0.3">
      <c r="A27" s="1"/>
      <c r="B27" s="1"/>
      <c r="C27" s="1"/>
      <c r="D27" s="13">
        <v>12610</v>
      </c>
      <c r="E27" s="1" t="s">
        <v>42</v>
      </c>
      <c r="F27" s="14">
        <v>147198</v>
      </c>
      <c r="G27" s="14">
        <v>111569</v>
      </c>
      <c r="H27" s="14">
        <v>417477</v>
      </c>
      <c r="I27" s="14">
        <v>463909</v>
      </c>
      <c r="J27" s="14">
        <v>479342</v>
      </c>
      <c r="K27" s="14">
        <v>544969</v>
      </c>
      <c r="L27" s="14">
        <v>638090</v>
      </c>
      <c r="M27" s="14">
        <v>743533</v>
      </c>
      <c r="N27" s="14">
        <v>1530694</v>
      </c>
      <c r="O27" s="14">
        <v>1283493</v>
      </c>
      <c r="P27" s="14">
        <v>2133662</v>
      </c>
      <c r="Q27" s="14">
        <v>1893119</v>
      </c>
      <c r="R27" s="15">
        <v>0.01</v>
      </c>
      <c r="S27" s="11">
        <f t="shared" si="0"/>
        <v>1513622.6300000001</v>
      </c>
      <c r="T27" s="1" t="str">
        <f t="shared" si="1"/>
        <v>YES</v>
      </c>
      <c r="U27" s="15">
        <v>0.75</v>
      </c>
      <c r="V27" s="11">
        <f t="shared" si="2"/>
        <v>1135216.9725000001</v>
      </c>
      <c r="W27" s="1" t="str">
        <f t="shared" si="3"/>
        <v>Yes</v>
      </c>
      <c r="X27" s="1"/>
      <c r="Y27" s="1"/>
      <c r="Z27" s="1"/>
      <c r="AA27" s="1"/>
    </row>
    <row r="28" spans="1:27" ht="14.4" x14ac:dyDescent="0.3">
      <c r="A28" s="1"/>
      <c r="B28" s="1"/>
      <c r="C28" s="1"/>
      <c r="D28" s="13">
        <v>12611</v>
      </c>
      <c r="E28" s="1" t="s">
        <v>43</v>
      </c>
      <c r="F28" s="14">
        <v>225582</v>
      </c>
      <c r="G28" s="14">
        <v>236670</v>
      </c>
      <c r="H28" s="14">
        <v>158732</v>
      </c>
      <c r="I28" s="14">
        <v>167238</v>
      </c>
      <c r="J28" s="14">
        <v>91875</v>
      </c>
      <c r="K28" s="14">
        <v>88299</v>
      </c>
      <c r="L28" s="14">
        <v>88299</v>
      </c>
      <c r="M28" s="14">
        <v>88299</v>
      </c>
      <c r="N28" s="14">
        <v>88299</v>
      </c>
      <c r="O28" s="14">
        <v>88299</v>
      </c>
      <c r="P28" s="14">
        <v>88299</v>
      </c>
      <c r="Q28" s="14">
        <v>247001</v>
      </c>
      <c r="R28" s="15">
        <v>0.01</v>
      </c>
      <c r="S28" s="11">
        <f t="shared" si="0"/>
        <v>1513622.6300000001</v>
      </c>
      <c r="T28" s="1" t="str">
        <f t="shared" si="1"/>
        <v>NO</v>
      </c>
      <c r="U28" s="15">
        <v>0.75</v>
      </c>
      <c r="V28" s="11">
        <f t="shared" si="2"/>
        <v>1135216.9725000001</v>
      </c>
      <c r="W28" s="1" t="str">
        <f t="shared" si="3"/>
        <v>No</v>
      </c>
      <c r="X28" s="1"/>
      <c r="Y28" s="1"/>
      <c r="Z28" s="1"/>
      <c r="AA28" s="1"/>
    </row>
    <row r="29" spans="1:27" ht="14.4" x14ac:dyDescent="0.3">
      <c r="A29" s="1"/>
      <c r="B29" s="1"/>
      <c r="C29" s="1"/>
      <c r="D29" s="13">
        <v>12613</v>
      </c>
      <c r="E29" s="1" t="s">
        <v>44</v>
      </c>
      <c r="F29" s="14">
        <v>4084</v>
      </c>
      <c r="G29" s="14">
        <v>4084</v>
      </c>
      <c r="H29" s="14">
        <v>4084</v>
      </c>
      <c r="I29" s="14">
        <v>4084</v>
      </c>
      <c r="J29" s="14">
        <v>4084</v>
      </c>
      <c r="K29" s="14">
        <v>4084</v>
      </c>
      <c r="L29" s="14">
        <v>4084</v>
      </c>
      <c r="M29" s="14">
        <v>4084</v>
      </c>
      <c r="N29" s="14">
        <v>4084</v>
      </c>
      <c r="O29" s="14">
        <v>4084</v>
      </c>
      <c r="P29" s="14">
        <v>4084</v>
      </c>
      <c r="Q29" s="14">
        <v>4084</v>
      </c>
      <c r="R29" s="15">
        <v>0.01</v>
      </c>
      <c r="S29" s="11">
        <f t="shared" si="0"/>
        <v>1513622.6300000001</v>
      </c>
      <c r="T29" s="1" t="str">
        <f t="shared" si="1"/>
        <v>NO</v>
      </c>
      <c r="U29" s="15">
        <v>0.75</v>
      </c>
      <c r="V29" s="11">
        <f t="shared" si="2"/>
        <v>1135216.9725000001</v>
      </c>
      <c r="W29" s="1" t="str">
        <f t="shared" si="3"/>
        <v>No</v>
      </c>
      <c r="X29" s="1"/>
      <c r="Y29" s="1"/>
      <c r="Z29" s="1"/>
      <c r="AA29" s="1"/>
    </row>
    <row r="30" spans="1:27" ht="14.4" x14ac:dyDescent="0.3">
      <c r="A30" s="1"/>
      <c r="B30" s="1"/>
      <c r="C30" s="1"/>
      <c r="D30" s="13">
        <v>12614</v>
      </c>
      <c r="E30" s="1" t="s">
        <v>45</v>
      </c>
      <c r="F30" s="14">
        <v>5753009</v>
      </c>
      <c r="G30" s="14">
        <v>5661587</v>
      </c>
      <c r="H30" s="14">
        <v>6530221</v>
      </c>
      <c r="I30" s="14">
        <v>6868873</v>
      </c>
      <c r="J30" s="14">
        <v>6874735</v>
      </c>
      <c r="K30" s="14">
        <v>6957317</v>
      </c>
      <c r="L30" s="14">
        <v>7130109</v>
      </c>
      <c r="M30" s="14">
        <v>7014535</v>
      </c>
      <c r="N30" s="14">
        <v>8160839</v>
      </c>
      <c r="O30" s="14">
        <v>8364972</v>
      </c>
      <c r="P30" s="14">
        <v>8185143</v>
      </c>
      <c r="Q30" s="14">
        <v>7162743</v>
      </c>
      <c r="R30" s="15">
        <v>0.01</v>
      </c>
      <c r="S30" s="11">
        <f t="shared" si="0"/>
        <v>1513622.6300000001</v>
      </c>
      <c r="T30" s="1" t="str">
        <f t="shared" si="1"/>
        <v>YES</v>
      </c>
      <c r="U30" s="15">
        <v>0.75</v>
      </c>
      <c r="V30" s="11">
        <f t="shared" si="2"/>
        <v>1135216.9725000001</v>
      </c>
      <c r="W30" s="1" t="str">
        <f t="shared" si="3"/>
        <v>Yes</v>
      </c>
      <c r="X30" s="1"/>
      <c r="Y30" s="1"/>
      <c r="Z30" s="1"/>
      <c r="AA30" s="1"/>
    </row>
    <row r="31" spans="1:27" ht="14.4" x14ac:dyDescent="0.3">
      <c r="A31" s="1"/>
      <c r="B31" s="1"/>
      <c r="C31" s="1"/>
      <c r="D31" s="13">
        <v>12615</v>
      </c>
      <c r="E31" s="1" t="s">
        <v>46</v>
      </c>
      <c r="F31" s="13">
        <v>-897</v>
      </c>
      <c r="G31" s="13">
        <v>-897</v>
      </c>
      <c r="H31" s="13">
        <v>-897</v>
      </c>
      <c r="I31" s="13">
        <v>-897</v>
      </c>
      <c r="J31" s="13">
        <v>-897</v>
      </c>
      <c r="K31" s="13">
        <v>-897</v>
      </c>
      <c r="L31" s="13">
        <v>-897</v>
      </c>
      <c r="M31" s="13">
        <v>-897</v>
      </c>
      <c r="N31" s="13">
        <v>-897</v>
      </c>
      <c r="O31" s="13">
        <v>-897</v>
      </c>
      <c r="P31" s="13">
        <v>-897</v>
      </c>
      <c r="Q31" s="13">
        <v>-897</v>
      </c>
      <c r="R31" s="15">
        <v>0.01</v>
      </c>
      <c r="S31" s="11">
        <f t="shared" si="0"/>
        <v>1513622.6300000001</v>
      </c>
      <c r="T31" s="1" t="str">
        <f t="shared" si="1"/>
        <v>NO</v>
      </c>
      <c r="U31" s="15">
        <v>0.75</v>
      </c>
      <c r="V31" s="11">
        <f t="shared" si="2"/>
        <v>1135216.9725000001</v>
      </c>
      <c r="W31" s="1" t="str">
        <f t="shared" si="3"/>
        <v>No</v>
      </c>
      <c r="X31" s="1"/>
      <c r="Y31" s="1"/>
      <c r="Z31" s="1"/>
      <c r="AA31" s="1"/>
    </row>
    <row r="32" spans="1:27" ht="14.4" x14ac:dyDescent="0.3">
      <c r="A32" s="1"/>
      <c r="B32" s="1"/>
      <c r="C32" s="1"/>
      <c r="D32" s="13">
        <v>12626</v>
      </c>
      <c r="E32" s="1" t="s">
        <v>47</v>
      </c>
      <c r="F32" s="14">
        <v>61976</v>
      </c>
      <c r="G32" s="14">
        <v>61976</v>
      </c>
      <c r="H32" s="14">
        <v>61976</v>
      </c>
      <c r="I32" s="14">
        <v>61976</v>
      </c>
      <c r="J32" s="14">
        <v>61976</v>
      </c>
      <c r="K32" s="14">
        <v>61976</v>
      </c>
      <c r="L32" s="14">
        <v>63519</v>
      </c>
      <c r="M32" s="14">
        <v>63855</v>
      </c>
      <c r="N32" s="14">
        <v>63855</v>
      </c>
      <c r="O32" s="14">
        <v>65639</v>
      </c>
      <c r="P32" s="14">
        <v>65639</v>
      </c>
      <c r="Q32" s="14">
        <v>58629</v>
      </c>
      <c r="R32" s="15">
        <v>0.01</v>
      </c>
      <c r="S32" s="11">
        <f t="shared" si="0"/>
        <v>1513622.6300000001</v>
      </c>
      <c r="T32" s="1" t="str">
        <f t="shared" si="1"/>
        <v>NO</v>
      </c>
      <c r="U32" s="15">
        <v>0.75</v>
      </c>
      <c r="V32" s="11">
        <f t="shared" si="2"/>
        <v>1135216.9725000001</v>
      </c>
      <c r="W32" s="1" t="str">
        <f t="shared" si="3"/>
        <v>No</v>
      </c>
      <c r="X32" s="1"/>
      <c r="Y32" s="1"/>
      <c r="Z32" s="1"/>
      <c r="AA32" s="1"/>
    </row>
    <row r="33" spans="1:27" ht="14.4" x14ac:dyDescent="0.3">
      <c r="A33" s="1"/>
      <c r="B33" s="1"/>
      <c r="C33" s="1"/>
      <c r="D33" s="13">
        <v>12653</v>
      </c>
      <c r="E33" s="1" t="s">
        <v>48</v>
      </c>
      <c r="F33" s="14">
        <v>57900</v>
      </c>
      <c r="G33" s="14">
        <v>57650</v>
      </c>
      <c r="H33" s="14">
        <v>57650</v>
      </c>
      <c r="I33" s="14">
        <v>57150</v>
      </c>
      <c r="J33" s="14">
        <v>57150</v>
      </c>
      <c r="K33" s="14">
        <v>57150</v>
      </c>
      <c r="L33" s="14">
        <v>56650</v>
      </c>
      <c r="M33" s="14">
        <v>56650</v>
      </c>
      <c r="N33" s="14">
        <v>56400</v>
      </c>
      <c r="O33" s="14">
        <v>56150</v>
      </c>
      <c r="P33" s="14">
        <v>55650</v>
      </c>
      <c r="Q33" s="14">
        <v>55650</v>
      </c>
      <c r="R33" s="15">
        <v>0.01</v>
      </c>
      <c r="S33" s="11">
        <f t="shared" si="0"/>
        <v>1513622.6300000001</v>
      </c>
      <c r="T33" s="1" t="str">
        <f t="shared" si="1"/>
        <v>NO</v>
      </c>
      <c r="U33" s="15">
        <v>0.75</v>
      </c>
      <c r="V33" s="11">
        <f t="shared" si="2"/>
        <v>1135216.9725000001</v>
      </c>
      <c r="W33" s="1" t="str">
        <f t="shared" si="3"/>
        <v>No</v>
      </c>
      <c r="X33" s="1"/>
      <c r="Y33" s="1"/>
      <c r="Z33" s="1"/>
      <c r="AA33" s="1"/>
    </row>
    <row r="34" spans="1:27" ht="14.4" x14ac:dyDescent="0.3">
      <c r="A34" s="1"/>
      <c r="B34" s="1"/>
      <c r="C34" s="1"/>
      <c r="D34" s="13">
        <v>12662</v>
      </c>
      <c r="E34" s="1" t="s">
        <v>49</v>
      </c>
      <c r="F34" s="1"/>
      <c r="G34" s="1"/>
      <c r="H34" s="1"/>
      <c r="I34" s="1"/>
      <c r="J34" s="1"/>
      <c r="K34" s="1"/>
      <c r="L34" s="1"/>
      <c r="M34" s="1"/>
      <c r="N34" s="14">
        <v>2000</v>
      </c>
      <c r="O34" s="14">
        <v>1922</v>
      </c>
      <c r="P34" s="14">
        <v>1726</v>
      </c>
      <c r="Q34" s="14">
        <v>1569</v>
      </c>
      <c r="R34" s="15">
        <v>0.01</v>
      </c>
      <c r="S34" s="11">
        <f t="shared" si="0"/>
        <v>1513622.6300000001</v>
      </c>
      <c r="T34" s="1" t="str">
        <f t="shared" si="1"/>
        <v>NO</v>
      </c>
      <c r="U34" s="15">
        <v>0.75</v>
      </c>
      <c r="V34" s="11">
        <f t="shared" si="2"/>
        <v>1135216.9725000001</v>
      </c>
      <c r="W34" s="1" t="str">
        <f t="shared" si="3"/>
        <v>No</v>
      </c>
      <c r="X34" s="1"/>
      <c r="Y34" s="1"/>
      <c r="Z34" s="1"/>
      <c r="AA34" s="1"/>
    </row>
    <row r="35" spans="1:27" ht="14.4" x14ac:dyDescent="0.3">
      <c r="A35" s="1"/>
      <c r="B35" s="1"/>
      <c r="C35" s="1"/>
      <c r="D35" s="13">
        <v>13000</v>
      </c>
      <c r="E35" s="1" t="s">
        <v>50</v>
      </c>
      <c r="F35" s="14">
        <v>21353</v>
      </c>
      <c r="G35" s="14">
        <v>37646</v>
      </c>
      <c r="H35" s="14">
        <v>-337538</v>
      </c>
      <c r="I35" s="14">
        <v>13953</v>
      </c>
      <c r="J35" s="14">
        <v>37451</v>
      </c>
      <c r="K35" s="14">
        <v>85211</v>
      </c>
      <c r="L35" s="14">
        <v>79037</v>
      </c>
      <c r="M35" s="14">
        <v>77715</v>
      </c>
      <c r="N35" s="14">
        <v>15727</v>
      </c>
      <c r="O35" s="14">
        <v>11904</v>
      </c>
      <c r="P35" s="14">
        <v>9320</v>
      </c>
      <c r="Q35" s="1"/>
      <c r="R35" s="15">
        <v>0.01</v>
      </c>
      <c r="S35" s="11">
        <f t="shared" si="0"/>
        <v>1513622.6300000001</v>
      </c>
      <c r="T35" s="1" t="str">
        <f t="shared" si="1"/>
        <v>NO</v>
      </c>
      <c r="U35" s="15">
        <v>0.75</v>
      </c>
      <c r="V35" s="11">
        <f t="shared" si="2"/>
        <v>1135216.9725000001</v>
      </c>
      <c r="W35" s="1" t="str">
        <f t="shared" si="3"/>
        <v>No</v>
      </c>
      <c r="X35" s="1"/>
      <c r="Y35" s="1"/>
      <c r="Z35" s="1"/>
      <c r="AA35" s="1"/>
    </row>
    <row r="36" spans="1:27" ht="14.4" x14ac:dyDescent="0.3">
      <c r="A36" s="1"/>
      <c r="B36" s="1"/>
      <c r="C36" s="1"/>
      <c r="D36" s="13">
        <v>14100</v>
      </c>
      <c r="E36" s="1" t="s">
        <v>51</v>
      </c>
      <c r="F36" s="14">
        <v>11007787</v>
      </c>
      <c r="G36" s="14">
        <v>11320060</v>
      </c>
      <c r="H36" s="14">
        <v>11655507</v>
      </c>
      <c r="I36" s="14">
        <v>10145780</v>
      </c>
      <c r="J36" s="14">
        <v>9868577</v>
      </c>
      <c r="K36" s="14">
        <v>10588194</v>
      </c>
      <c r="L36" s="14">
        <v>9971453</v>
      </c>
      <c r="M36" s="14">
        <v>9568518</v>
      </c>
      <c r="N36" s="14">
        <v>10450945</v>
      </c>
      <c r="O36" s="14">
        <v>11243134</v>
      </c>
      <c r="P36" s="14">
        <v>11185235</v>
      </c>
      <c r="Q36" s="14">
        <v>7882178</v>
      </c>
      <c r="R36" s="15">
        <v>0.01</v>
      </c>
      <c r="S36" s="11">
        <f t="shared" si="0"/>
        <v>1513622.6300000001</v>
      </c>
      <c r="T36" s="1" t="str">
        <f t="shared" si="1"/>
        <v>YES</v>
      </c>
      <c r="U36" s="15">
        <v>0.75</v>
      </c>
      <c r="V36" s="11">
        <f t="shared" si="2"/>
        <v>1135216.9725000001</v>
      </c>
      <c r="W36" s="1" t="str">
        <f t="shared" si="3"/>
        <v>Yes</v>
      </c>
      <c r="X36" s="1"/>
      <c r="Y36" s="1"/>
      <c r="Z36" s="1"/>
      <c r="AA36" s="1"/>
    </row>
    <row r="37" spans="1:27" ht="14.4" x14ac:dyDescent="0.3">
      <c r="A37" s="1"/>
      <c r="B37" s="1"/>
      <c r="C37" s="1"/>
      <c r="D37" s="13">
        <v>14110</v>
      </c>
      <c r="E37" s="1" t="s">
        <v>51</v>
      </c>
      <c r="F37" s="14">
        <v>11988</v>
      </c>
      <c r="G37" s="14">
        <v>11988</v>
      </c>
      <c r="H37" s="14">
        <v>14332</v>
      </c>
      <c r="I37" s="14">
        <v>16384</v>
      </c>
      <c r="J37" s="14">
        <v>13488</v>
      </c>
      <c r="K37" s="14">
        <v>14183</v>
      </c>
      <c r="L37" s="14">
        <v>16618</v>
      </c>
      <c r="M37" s="14">
        <v>19618</v>
      </c>
      <c r="N37" s="14">
        <v>25504</v>
      </c>
      <c r="O37" s="14">
        <v>30310</v>
      </c>
      <c r="P37" s="14">
        <v>14638</v>
      </c>
      <c r="Q37" s="14">
        <v>6666</v>
      </c>
      <c r="R37" s="15">
        <v>0.01</v>
      </c>
      <c r="S37" s="11">
        <f t="shared" si="0"/>
        <v>1513622.6300000001</v>
      </c>
      <c r="T37" s="1" t="str">
        <f t="shared" si="1"/>
        <v>NO</v>
      </c>
      <c r="U37" s="15">
        <v>0.75</v>
      </c>
      <c r="V37" s="11">
        <f t="shared" si="2"/>
        <v>1135216.9725000001</v>
      </c>
      <c r="W37" s="1" t="str">
        <f t="shared" si="3"/>
        <v>No</v>
      </c>
      <c r="X37" s="1"/>
      <c r="Y37" s="1"/>
      <c r="Z37" s="1"/>
      <c r="AA37" s="1"/>
    </row>
    <row r="38" spans="1:27" ht="14.4" x14ac:dyDescent="0.3">
      <c r="A38" s="1"/>
      <c r="B38" s="1"/>
      <c r="C38" s="1"/>
      <c r="D38" s="13">
        <v>14123</v>
      </c>
      <c r="E38" s="1" t="s">
        <v>51</v>
      </c>
      <c r="F38" s="14">
        <v>6726649</v>
      </c>
      <c r="G38" s="14">
        <v>7743844</v>
      </c>
      <c r="H38" s="14">
        <v>6951244</v>
      </c>
      <c r="I38" s="14">
        <v>5911457</v>
      </c>
      <c r="J38" s="14">
        <v>5116147</v>
      </c>
      <c r="K38" s="14">
        <v>4343932</v>
      </c>
      <c r="L38" s="14">
        <v>4549765</v>
      </c>
      <c r="M38" s="14">
        <v>4073809</v>
      </c>
      <c r="N38" s="14">
        <v>5151601</v>
      </c>
      <c r="O38" s="14">
        <v>5982607</v>
      </c>
      <c r="P38" s="14">
        <v>5594803</v>
      </c>
      <c r="Q38" s="14">
        <v>7275630</v>
      </c>
      <c r="R38" s="15">
        <v>0.01</v>
      </c>
      <c r="S38" s="11">
        <f t="shared" si="0"/>
        <v>1513622.6300000001</v>
      </c>
      <c r="T38" s="1" t="str">
        <f t="shared" si="1"/>
        <v>YES</v>
      </c>
      <c r="U38" s="15">
        <v>0.75</v>
      </c>
      <c r="V38" s="11">
        <f t="shared" si="2"/>
        <v>1135216.9725000001</v>
      </c>
      <c r="W38" s="1" t="str">
        <f t="shared" si="3"/>
        <v>Yes</v>
      </c>
      <c r="X38" s="1"/>
      <c r="Y38" s="1"/>
      <c r="Z38" s="1"/>
      <c r="AA38" s="1"/>
    </row>
    <row r="39" spans="1:27" ht="14.4" x14ac:dyDescent="0.3">
      <c r="A39" s="1"/>
      <c r="B39" s="1"/>
      <c r="C39" s="1"/>
      <c r="D39" s="13">
        <v>14128</v>
      </c>
      <c r="E39" s="1" t="s">
        <v>51</v>
      </c>
      <c r="F39" s="14">
        <v>53831</v>
      </c>
      <c r="G39" s="14">
        <v>48932</v>
      </c>
      <c r="H39" s="14">
        <v>44032</v>
      </c>
      <c r="I39" s="14">
        <v>39132</v>
      </c>
      <c r="J39" s="14">
        <v>34233</v>
      </c>
      <c r="K39" s="14">
        <v>34233</v>
      </c>
      <c r="L39" s="14">
        <v>28527</v>
      </c>
      <c r="M39" s="14">
        <v>28527</v>
      </c>
      <c r="N39" s="14">
        <v>28527</v>
      </c>
      <c r="O39" s="14">
        <v>28527</v>
      </c>
      <c r="P39" s="14">
        <v>14264</v>
      </c>
      <c r="Q39" s="14">
        <v>14264</v>
      </c>
      <c r="R39" s="15">
        <v>0.01</v>
      </c>
      <c r="S39" s="11">
        <f t="shared" si="0"/>
        <v>1513622.6300000001</v>
      </c>
      <c r="T39" s="1" t="str">
        <f t="shared" si="1"/>
        <v>NO</v>
      </c>
      <c r="U39" s="15">
        <v>0.75</v>
      </c>
      <c r="V39" s="11">
        <f t="shared" si="2"/>
        <v>1135216.9725000001</v>
      </c>
      <c r="W39" s="1" t="str">
        <f t="shared" si="3"/>
        <v>No</v>
      </c>
      <c r="X39" s="1"/>
      <c r="Y39" s="1"/>
      <c r="Z39" s="1"/>
      <c r="AA39" s="1"/>
    </row>
    <row r="40" spans="1:27" ht="14.4" x14ac:dyDescent="0.3">
      <c r="A40" s="1"/>
      <c r="B40" s="1"/>
      <c r="C40" s="1"/>
      <c r="D40" s="13">
        <v>14200</v>
      </c>
      <c r="E40" s="1" t="s">
        <v>52</v>
      </c>
      <c r="F40" s="14">
        <v>21489748</v>
      </c>
      <c r="G40" s="14">
        <v>20956331</v>
      </c>
      <c r="H40" s="14">
        <v>18675841</v>
      </c>
      <c r="I40" s="14">
        <v>17538974</v>
      </c>
      <c r="J40" s="14">
        <v>17173563</v>
      </c>
      <c r="K40" s="14">
        <v>17231789</v>
      </c>
      <c r="L40" s="14">
        <v>18745922</v>
      </c>
      <c r="M40" s="14">
        <v>18791439</v>
      </c>
      <c r="N40" s="14">
        <v>21040929</v>
      </c>
      <c r="O40" s="14">
        <v>21996357</v>
      </c>
      <c r="P40" s="14">
        <v>21565360</v>
      </c>
      <c r="Q40" s="14">
        <v>24576311</v>
      </c>
      <c r="R40" s="15">
        <v>0.01</v>
      </c>
      <c r="S40" s="11">
        <f t="shared" si="0"/>
        <v>1513622.6300000001</v>
      </c>
      <c r="T40" s="1" t="str">
        <f t="shared" si="1"/>
        <v>YES</v>
      </c>
      <c r="U40" s="15">
        <v>0.75</v>
      </c>
      <c r="V40" s="11">
        <f t="shared" si="2"/>
        <v>1135216.9725000001</v>
      </c>
      <c r="W40" s="1" t="str">
        <f t="shared" si="3"/>
        <v>Yes</v>
      </c>
      <c r="X40" s="1"/>
      <c r="Y40" s="1"/>
      <c r="Z40" s="1"/>
      <c r="AA40" s="1"/>
    </row>
    <row r="41" spans="1:27" ht="14.4" x14ac:dyDescent="0.3">
      <c r="A41" s="1"/>
      <c r="B41" s="1"/>
      <c r="C41" s="1"/>
      <c r="D41" s="13">
        <v>14212</v>
      </c>
      <c r="E41" s="1" t="s">
        <v>53</v>
      </c>
      <c r="F41" s="14">
        <v>-3199926</v>
      </c>
      <c r="G41" s="14">
        <v>-3215170</v>
      </c>
      <c r="H41" s="14">
        <v>-3224055</v>
      </c>
      <c r="I41" s="14">
        <v>-3225710</v>
      </c>
      <c r="J41" s="14">
        <v>-3209245</v>
      </c>
      <c r="K41" s="14">
        <v>-3227083</v>
      </c>
      <c r="L41" s="14">
        <v>-3329134</v>
      </c>
      <c r="M41" s="14">
        <v>-3277800</v>
      </c>
      <c r="N41" s="14">
        <v>-3259593</v>
      </c>
      <c r="O41" s="14">
        <v>-3228611</v>
      </c>
      <c r="P41" s="14">
        <v>-3261623</v>
      </c>
      <c r="Q41" s="14">
        <v>786985</v>
      </c>
      <c r="R41" s="15">
        <v>0.01</v>
      </c>
      <c r="S41" s="11">
        <f t="shared" si="0"/>
        <v>1513622.6300000001</v>
      </c>
      <c r="T41" s="1" t="str">
        <f t="shared" si="1"/>
        <v>NO</v>
      </c>
      <c r="U41" s="15">
        <v>0.75</v>
      </c>
      <c r="V41" s="11">
        <f t="shared" si="2"/>
        <v>1135216.9725000001</v>
      </c>
      <c r="W41" s="1" t="str">
        <f t="shared" si="3"/>
        <v>No</v>
      </c>
      <c r="X41" s="1"/>
      <c r="Y41" s="1"/>
      <c r="Z41" s="1"/>
      <c r="AA41" s="1"/>
    </row>
    <row r="42" spans="1:27" ht="14.4" x14ac:dyDescent="0.3">
      <c r="A42" s="1"/>
      <c r="B42" s="1"/>
      <c r="C42" s="1"/>
      <c r="D42" s="13">
        <v>14310</v>
      </c>
      <c r="E42" s="1" t="s">
        <v>54</v>
      </c>
      <c r="F42" s="14">
        <v>5730304</v>
      </c>
      <c r="G42" s="14">
        <v>6764879</v>
      </c>
      <c r="H42" s="14">
        <v>6695306</v>
      </c>
      <c r="I42" s="14">
        <v>8114897</v>
      </c>
      <c r="J42" s="14">
        <v>9163294</v>
      </c>
      <c r="K42" s="14">
        <v>8727049</v>
      </c>
      <c r="L42" s="14">
        <v>10337764</v>
      </c>
      <c r="M42" s="14">
        <v>11052884</v>
      </c>
      <c r="N42" s="14">
        <v>12223063</v>
      </c>
      <c r="O42" s="14">
        <v>12305953</v>
      </c>
      <c r="P42" s="14">
        <v>11658502</v>
      </c>
      <c r="Q42" s="14">
        <v>3309431</v>
      </c>
      <c r="R42" s="15">
        <v>0.01</v>
      </c>
      <c r="S42" s="11">
        <f t="shared" si="0"/>
        <v>1513622.6300000001</v>
      </c>
      <c r="T42" s="1" t="str">
        <f t="shared" si="1"/>
        <v>YES</v>
      </c>
      <c r="U42" s="15">
        <v>0.75</v>
      </c>
      <c r="V42" s="11">
        <f t="shared" si="2"/>
        <v>1135216.9725000001</v>
      </c>
      <c r="W42" s="1" t="str">
        <f t="shared" si="3"/>
        <v>Yes</v>
      </c>
      <c r="X42" s="1"/>
      <c r="Y42" s="1"/>
      <c r="Z42" s="1"/>
      <c r="AA42" s="1"/>
    </row>
    <row r="43" spans="1:27" ht="14.4" x14ac:dyDescent="0.3">
      <c r="A43" s="1"/>
      <c r="B43" s="1"/>
      <c r="C43" s="1"/>
      <c r="D43" s="13">
        <v>14311</v>
      </c>
      <c r="E43" s="1" t="s">
        <v>54</v>
      </c>
      <c r="F43" s="14">
        <v>142104179</v>
      </c>
      <c r="G43" s="14">
        <v>140666155</v>
      </c>
      <c r="H43" s="14">
        <v>142414050</v>
      </c>
      <c r="I43" s="14">
        <v>144088672</v>
      </c>
      <c r="J43" s="14">
        <v>147213741</v>
      </c>
      <c r="K43" s="14">
        <v>154941318</v>
      </c>
      <c r="L43" s="14">
        <v>158284025</v>
      </c>
      <c r="M43" s="14">
        <v>163633478</v>
      </c>
      <c r="N43" s="14">
        <v>174104145</v>
      </c>
      <c r="O43" s="14">
        <v>174142839</v>
      </c>
      <c r="P43" s="14">
        <v>176943178</v>
      </c>
      <c r="Q43" s="14">
        <v>174017144</v>
      </c>
      <c r="R43" s="15">
        <v>0.01</v>
      </c>
      <c r="S43" s="11">
        <f t="shared" si="0"/>
        <v>1513622.6300000001</v>
      </c>
      <c r="T43" s="1" t="str">
        <f t="shared" si="1"/>
        <v>YES</v>
      </c>
      <c r="U43" s="15">
        <v>0.75</v>
      </c>
      <c r="V43" s="11">
        <f t="shared" si="2"/>
        <v>1135216.9725000001</v>
      </c>
      <c r="W43" s="1" t="str">
        <f t="shared" si="3"/>
        <v>Yes</v>
      </c>
      <c r="X43" s="1"/>
      <c r="Y43" s="1"/>
      <c r="Z43" s="1"/>
      <c r="AA43" s="1"/>
    </row>
    <row r="44" spans="1:27" ht="14.4" x14ac:dyDescent="0.3">
      <c r="A44" s="1"/>
      <c r="B44" s="1"/>
      <c r="C44" s="1"/>
      <c r="D44" s="13">
        <v>14312</v>
      </c>
      <c r="E44" s="1" t="s">
        <v>55</v>
      </c>
      <c r="F44" s="14">
        <v>-1006907</v>
      </c>
      <c r="G44" s="14">
        <v>-996102</v>
      </c>
      <c r="H44" s="14">
        <v>-1000782</v>
      </c>
      <c r="I44" s="14">
        <v>-1003894</v>
      </c>
      <c r="J44" s="14">
        <v>-994176</v>
      </c>
      <c r="K44" s="14">
        <v>-988142</v>
      </c>
      <c r="L44" s="14">
        <v>-996030</v>
      </c>
      <c r="M44" s="14">
        <v>-986744</v>
      </c>
      <c r="N44" s="14">
        <v>-996102</v>
      </c>
      <c r="O44" s="14">
        <v>-991011</v>
      </c>
      <c r="P44" s="14">
        <v>-985186</v>
      </c>
      <c r="Q44" s="14">
        <v>-963404</v>
      </c>
      <c r="R44" s="15">
        <v>0.01</v>
      </c>
      <c r="S44" s="11">
        <f t="shared" si="0"/>
        <v>1513622.6300000001</v>
      </c>
      <c r="T44" s="1" t="str">
        <f t="shared" si="1"/>
        <v>NO</v>
      </c>
      <c r="U44" s="15">
        <v>0.75</v>
      </c>
      <c r="V44" s="11">
        <f t="shared" si="2"/>
        <v>1135216.9725000001</v>
      </c>
      <c r="W44" s="1" t="str">
        <f t="shared" si="3"/>
        <v>No</v>
      </c>
      <c r="X44" s="1"/>
      <c r="Y44" s="1"/>
      <c r="Z44" s="1"/>
      <c r="AA44" s="1"/>
    </row>
    <row r="45" spans="1:27" ht="14.4" x14ac:dyDescent="0.3">
      <c r="A45" s="1"/>
      <c r="B45" s="1"/>
      <c r="C45" s="1"/>
      <c r="D45" s="13">
        <v>14313</v>
      </c>
      <c r="E45" s="1" t="s">
        <v>54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4">
        <v>91525</v>
      </c>
      <c r="R45" s="15">
        <v>0.01</v>
      </c>
      <c r="S45" s="11">
        <f t="shared" si="0"/>
        <v>1513622.6300000001</v>
      </c>
      <c r="T45" s="1" t="str">
        <f t="shared" si="1"/>
        <v>NO</v>
      </c>
      <c r="U45" s="15">
        <v>0.75</v>
      </c>
      <c r="V45" s="11">
        <f t="shared" si="2"/>
        <v>1135216.9725000001</v>
      </c>
      <c r="W45" s="1" t="str">
        <f t="shared" si="3"/>
        <v>No</v>
      </c>
      <c r="X45" s="1"/>
      <c r="Y45" s="1"/>
      <c r="Z45" s="1"/>
      <c r="AA45" s="1"/>
    </row>
    <row r="46" spans="1:27" ht="14.4" x14ac:dyDescent="0.3">
      <c r="A46" s="1"/>
      <c r="B46" s="1"/>
      <c r="C46" s="1"/>
      <c r="D46" s="13">
        <v>14314</v>
      </c>
      <c r="E46" s="1" t="s">
        <v>54</v>
      </c>
      <c r="F46" s="14">
        <v>-94529978</v>
      </c>
      <c r="G46" s="14">
        <v>-94609491</v>
      </c>
      <c r="H46" s="14">
        <v>-94610152</v>
      </c>
      <c r="I46" s="14">
        <v>-94699448</v>
      </c>
      <c r="J46" s="14">
        <v>-94423398</v>
      </c>
      <c r="K46" s="14">
        <v>-94422936</v>
      </c>
      <c r="L46" s="14">
        <v>-94439650</v>
      </c>
      <c r="M46" s="14">
        <v>-94448814</v>
      </c>
      <c r="N46" s="14">
        <v>-94472172</v>
      </c>
      <c r="O46" s="14">
        <v>-94433083</v>
      </c>
      <c r="P46" s="14">
        <v>-94429339</v>
      </c>
      <c r="Q46" s="14">
        <v>-94284618</v>
      </c>
      <c r="R46" s="15">
        <v>0.01</v>
      </c>
      <c r="S46" s="11">
        <f t="shared" si="0"/>
        <v>1513622.6300000001</v>
      </c>
      <c r="T46" s="1" t="str">
        <f t="shared" si="1"/>
        <v>YES</v>
      </c>
      <c r="U46" s="15">
        <v>0.75</v>
      </c>
      <c r="V46" s="11">
        <f t="shared" si="2"/>
        <v>1135216.9725000001</v>
      </c>
      <c r="W46" s="1" t="str">
        <f t="shared" si="3"/>
        <v>Yes</v>
      </c>
      <c r="X46" s="1"/>
      <c r="Y46" s="1"/>
      <c r="Z46" s="1"/>
      <c r="AA46" s="1"/>
    </row>
    <row r="47" spans="1:27" ht="14.4" x14ac:dyDescent="0.3">
      <c r="A47" s="1"/>
      <c r="B47" s="1"/>
      <c r="C47" s="1"/>
      <c r="D47" s="13">
        <v>14315</v>
      </c>
      <c r="E47" s="1" t="s">
        <v>54</v>
      </c>
      <c r="F47" s="14">
        <v>773631</v>
      </c>
      <c r="G47" s="14">
        <v>-969585</v>
      </c>
      <c r="H47" s="14">
        <v>-1908797</v>
      </c>
      <c r="I47" s="14">
        <v>-3166899</v>
      </c>
      <c r="J47" s="14">
        <v>-5425975</v>
      </c>
      <c r="K47" s="14">
        <v>-6300414</v>
      </c>
      <c r="L47" s="14">
        <v>-8007661</v>
      </c>
      <c r="M47" s="14">
        <v>-8318997</v>
      </c>
      <c r="N47" s="14">
        <v>-8749222</v>
      </c>
      <c r="O47" s="14">
        <v>-9127567</v>
      </c>
      <c r="P47" s="14">
        <v>-9018723</v>
      </c>
      <c r="Q47" s="14">
        <v>1436237</v>
      </c>
      <c r="R47" s="15">
        <v>0.01</v>
      </c>
      <c r="S47" s="11">
        <f t="shared" si="0"/>
        <v>1513622.6300000001</v>
      </c>
      <c r="T47" s="1" t="str">
        <f t="shared" si="1"/>
        <v>NO</v>
      </c>
      <c r="U47" s="15">
        <v>0.75</v>
      </c>
      <c r="V47" s="11">
        <f t="shared" si="2"/>
        <v>1135216.9725000001</v>
      </c>
      <c r="W47" s="1" t="str">
        <f t="shared" si="3"/>
        <v>Yes</v>
      </c>
      <c r="X47" s="1"/>
      <c r="Y47" s="1"/>
      <c r="Z47" s="1"/>
      <c r="AA47" s="1"/>
    </row>
    <row r="48" spans="1:27" ht="14.4" x14ac:dyDescent="0.3">
      <c r="A48" s="1"/>
      <c r="B48" s="1"/>
      <c r="C48" s="1"/>
      <c r="D48" s="13">
        <v>14340</v>
      </c>
      <c r="E48" s="1" t="s">
        <v>56</v>
      </c>
      <c r="F48" s="14">
        <v>-55224</v>
      </c>
      <c r="G48" s="14">
        <v>-55224</v>
      </c>
      <c r="H48" s="14">
        <v>-55224</v>
      </c>
      <c r="I48" s="14">
        <v>-55224</v>
      </c>
      <c r="J48" s="14">
        <v>-57184</v>
      </c>
      <c r="K48" s="14">
        <v>7350</v>
      </c>
      <c r="L48" s="14">
        <v>15680</v>
      </c>
      <c r="M48" s="14">
        <v>-46599</v>
      </c>
      <c r="N48" s="14">
        <v>5733</v>
      </c>
      <c r="O48" s="14">
        <v>7546</v>
      </c>
      <c r="P48" s="14">
        <v>10420</v>
      </c>
      <c r="Q48" s="14">
        <v>30878</v>
      </c>
      <c r="R48" s="15">
        <v>0.01</v>
      </c>
      <c r="S48" s="11">
        <f t="shared" si="0"/>
        <v>1513622.6300000001</v>
      </c>
      <c r="T48" s="1" t="str">
        <f t="shared" si="1"/>
        <v>NO</v>
      </c>
      <c r="U48" s="15">
        <v>0.75</v>
      </c>
      <c r="V48" s="11">
        <f t="shared" si="2"/>
        <v>1135216.9725000001</v>
      </c>
      <c r="W48" s="1" t="str">
        <f t="shared" si="3"/>
        <v>No</v>
      </c>
      <c r="X48" s="1"/>
      <c r="Y48" s="1"/>
      <c r="Z48" s="1"/>
      <c r="AA48" s="1"/>
    </row>
    <row r="49" spans="1:27" ht="14.4" x14ac:dyDescent="0.3">
      <c r="A49" s="1"/>
      <c r="B49" s="1"/>
      <c r="C49" s="1"/>
      <c r="D49" s="13">
        <v>14342</v>
      </c>
      <c r="E49" s="1" t="s">
        <v>57</v>
      </c>
      <c r="F49" s="14">
        <v>24873</v>
      </c>
      <c r="G49" s="14">
        <v>24873</v>
      </c>
      <c r="H49" s="14">
        <v>24873</v>
      </c>
      <c r="I49" s="14">
        <v>24873</v>
      </c>
      <c r="J49" s="14">
        <v>24873</v>
      </c>
      <c r="K49" s="1"/>
      <c r="L49" s="1"/>
      <c r="M49" s="1"/>
      <c r="N49" s="1"/>
      <c r="O49" s="1"/>
      <c r="P49" s="1"/>
      <c r="Q49" s="1"/>
      <c r="R49" s="15">
        <v>0.01</v>
      </c>
      <c r="S49" s="11">
        <f t="shared" si="0"/>
        <v>1513622.6300000001</v>
      </c>
      <c r="T49" s="1" t="str">
        <f t="shared" si="1"/>
        <v>NO</v>
      </c>
      <c r="U49" s="15">
        <v>0.75</v>
      </c>
      <c r="V49" s="11">
        <f t="shared" si="2"/>
        <v>1135216.9725000001</v>
      </c>
      <c r="W49" s="1" t="str">
        <f t="shared" si="3"/>
        <v>No</v>
      </c>
      <c r="X49" s="1"/>
      <c r="Y49" s="1"/>
      <c r="Z49" s="1"/>
      <c r="AA49" s="1"/>
    </row>
    <row r="50" spans="1:27" ht="14.4" x14ac:dyDescent="0.3">
      <c r="A50" s="1"/>
      <c r="B50" s="1"/>
      <c r="C50" s="1"/>
      <c r="D50" s="13">
        <v>14360</v>
      </c>
      <c r="E50" s="1" t="s">
        <v>54</v>
      </c>
      <c r="F50" s="14">
        <v>79282</v>
      </c>
      <c r="G50" s="14">
        <v>70783</v>
      </c>
      <c r="H50" s="14">
        <v>213347</v>
      </c>
      <c r="I50" s="14">
        <v>244827</v>
      </c>
      <c r="J50" s="14">
        <v>256856</v>
      </c>
      <c r="K50" s="14">
        <v>215041</v>
      </c>
      <c r="L50" s="14">
        <v>-33269</v>
      </c>
      <c r="M50" s="14">
        <v>238743</v>
      </c>
      <c r="N50" s="14">
        <v>229601</v>
      </c>
      <c r="O50" s="14">
        <v>-96257</v>
      </c>
      <c r="P50" s="14">
        <v>732534</v>
      </c>
      <c r="Q50" s="14">
        <v>34217</v>
      </c>
      <c r="R50" s="15">
        <v>0.01</v>
      </c>
      <c r="S50" s="11">
        <f t="shared" si="0"/>
        <v>1513622.6300000001</v>
      </c>
      <c r="T50" s="1" t="str">
        <f t="shared" si="1"/>
        <v>NO</v>
      </c>
      <c r="U50" s="15">
        <v>0.75</v>
      </c>
      <c r="V50" s="11">
        <f t="shared" si="2"/>
        <v>1135216.9725000001</v>
      </c>
      <c r="W50" s="1" t="str">
        <f t="shared" si="3"/>
        <v>No</v>
      </c>
      <c r="X50" s="1"/>
      <c r="Y50" s="1"/>
      <c r="Z50" s="1"/>
      <c r="AA50" s="1"/>
    </row>
    <row r="51" spans="1:27" ht="14.4" x14ac:dyDescent="0.3">
      <c r="A51" s="1"/>
      <c r="B51" s="1"/>
      <c r="C51" s="1"/>
      <c r="D51" s="13">
        <v>14390</v>
      </c>
      <c r="E51" s="1" t="s">
        <v>54</v>
      </c>
      <c r="F51" s="14">
        <v>227950</v>
      </c>
      <c r="G51" s="14">
        <v>-262008</v>
      </c>
      <c r="H51" s="14">
        <v>277075</v>
      </c>
      <c r="I51" s="14">
        <v>66359</v>
      </c>
      <c r="J51" s="14">
        <v>74739</v>
      </c>
      <c r="K51" s="14">
        <v>-165921</v>
      </c>
      <c r="L51" s="14">
        <v>-959203</v>
      </c>
      <c r="M51" s="14">
        <v>-840110</v>
      </c>
      <c r="N51" s="14">
        <v>-1463750</v>
      </c>
      <c r="O51" s="14">
        <v>-1237267</v>
      </c>
      <c r="P51" s="14">
        <v>-1370181</v>
      </c>
      <c r="Q51" s="14">
        <v>-7451916</v>
      </c>
      <c r="R51" s="15">
        <v>0.01</v>
      </c>
      <c r="S51" s="11">
        <f t="shared" si="0"/>
        <v>1513622.6300000001</v>
      </c>
      <c r="T51" s="1" t="str">
        <f t="shared" si="1"/>
        <v>YES</v>
      </c>
      <c r="U51" s="15">
        <v>0.75</v>
      </c>
      <c r="V51" s="11">
        <f t="shared" si="2"/>
        <v>1135216.9725000001</v>
      </c>
      <c r="W51" s="1" t="str">
        <f t="shared" si="3"/>
        <v>Yes</v>
      </c>
      <c r="X51" s="1"/>
      <c r="Y51" s="1"/>
      <c r="Z51" s="1"/>
      <c r="AA51" s="1"/>
    </row>
    <row r="52" spans="1:27" ht="14.4" x14ac:dyDescent="0.3">
      <c r="A52" s="1"/>
      <c r="B52" s="1"/>
      <c r="C52" s="1"/>
      <c r="D52" s="13">
        <v>14410</v>
      </c>
      <c r="E52" s="1" t="s">
        <v>58</v>
      </c>
      <c r="F52" s="14">
        <v>1561059</v>
      </c>
      <c r="G52" s="14">
        <v>1435813</v>
      </c>
      <c r="H52" s="14">
        <v>1361572</v>
      </c>
      <c r="I52" s="14">
        <v>1402915</v>
      </c>
      <c r="J52" s="14">
        <v>1449149</v>
      </c>
      <c r="K52" s="14">
        <v>1477780</v>
      </c>
      <c r="L52" s="14">
        <v>1353453</v>
      </c>
      <c r="M52" s="14">
        <v>1409521</v>
      </c>
      <c r="N52" s="14">
        <v>1491598</v>
      </c>
      <c r="O52" s="14">
        <v>1576765</v>
      </c>
      <c r="P52" s="14">
        <v>1630167</v>
      </c>
      <c r="Q52" s="14">
        <v>1443372</v>
      </c>
      <c r="R52" s="15">
        <v>0.01</v>
      </c>
      <c r="S52" s="11">
        <f t="shared" si="0"/>
        <v>1513622.6300000001</v>
      </c>
      <c r="T52" s="1" t="str">
        <f t="shared" si="1"/>
        <v>NO</v>
      </c>
      <c r="U52" s="15">
        <v>0.75</v>
      </c>
      <c r="V52" s="11">
        <f t="shared" si="2"/>
        <v>1135216.9725000001</v>
      </c>
      <c r="W52" s="1" t="str">
        <f t="shared" si="3"/>
        <v>Yes</v>
      </c>
      <c r="X52" s="1"/>
      <c r="Y52" s="1"/>
      <c r="Z52" s="1"/>
      <c r="AA52" s="1"/>
    </row>
    <row r="53" spans="1:27" ht="14.4" x14ac:dyDescent="0.3">
      <c r="A53" s="1"/>
      <c r="B53" s="1"/>
      <c r="C53" s="1"/>
      <c r="D53" s="13">
        <v>14415</v>
      </c>
      <c r="E53" s="1" t="s">
        <v>58</v>
      </c>
      <c r="F53" s="14">
        <v>94070</v>
      </c>
      <c r="G53" s="14">
        <v>100105</v>
      </c>
      <c r="H53" s="14">
        <v>91909</v>
      </c>
      <c r="I53" s="14">
        <v>110053</v>
      </c>
      <c r="J53" s="14">
        <v>105703</v>
      </c>
      <c r="K53" s="14">
        <v>112811</v>
      </c>
      <c r="L53" s="14">
        <v>116632</v>
      </c>
      <c r="M53" s="14">
        <v>113669</v>
      </c>
      <c r="N53" s="14">
        <v>163053</v>
      </c>
      <c r="O53" s="14">
        <v>143682</v>
      </c>
      <c r="P53" s="14">
        <v>156350</v>
      </c>
      <c r="Q53" s="14">
        <v>144197</v>
      </c>
      <c r="R53" s="15">
        <v>0.01</v>
      </c>
      <c r="S53" s="11">
        <f t="shared" si="0"/>
        <v>1513622.6300000001</v>
      </c>
      <c r="T53" s="1" t="str">
        <f t="shared" si="1"/>
        <v>NO</v>
      </c>
      <c r="U53" s="15">
        <v>0.75</v>
      </c>
      <c r="V53" s="11">
        <f t="shared" si="2"/>
        <v>1135216.9725000001</v>
      </c>
      <c r="W53" s="1" t="str">
        <f t="shared" si="3"/>
        <v>No</v>
      </c>
      <c r="X53" s="1"/>
      <c r="Y53" s="1"/>
      <c r="Z53" s="1"/>
      <c r="AA53" s="1"/>
    </row>
    <row r="54" spans="1:27" ht="14.4" x14ac:dyDescent="0.3">
      <c r="A54" s="1"/>
      <c r="B54" s="1"/>
      <c r="C54" s="1"/>
      <c r="D54" s="13">
        <v>15010</v>
      </c>
      <c r="E54" s="1" t="s">
        <v>59</v>
      </c>
      <c r="F54" s="14">
        <v>170000</v>
      </c>
      <c r="G54" s="14">
        <v>170000</v>
      </c>
      <c r="H54" s="14">
        <v>170000</v>
      </c>
      <c r="I54" s="14">
        <v>170000</v>
      </c>
      <c r="J54" s="14">
        <v>170000</v>
      </c>
      <c r="K54" s="14">
        <v>170000</v>
      </c>
      <c r="L54" s="14">
        <v>170000</v>
      </c>
      <c r="M54" s="14">
        <v>170000</v>
      </c>
      <c r="N54" s="14">
        <v>170000</v>
      </c>
      <c r="O54" s="14">
        <v>170000</v>
      </c>
      <c r="P54" s="14">
        <v>170000</v>
      </c>
      <c r="Q54" s="14">
        <v>170000</v>
      </c>
      <c r="R54" s="15">
        <v>0.01</v>
      </c>
      <c r="S54" s="11">
        <f t="shared" si="0"/>
        <v>1513622.6300000001</v>
      </c>
      <c r="T54" s="1" t="str">
        <f t="shared" si="1"/>
        <v>NO</v>
      </c>
      <c r="U54" s="15">
        <v>0.75</v>
      </c>
      <c r="V54" s="11">
        <f t="shared" si="2"/>
        <v>1135216.9725000001</v>
      </c>
      <c r="W54" s="1" t="str">
        <f t="shared" si="3"/>
        <v>No</v>
      </c>
      <c r="X54" s="1"/>
      <c r="Y54" s="1"/>
      <c r="Z54" s="1"/>
      <c r="AA54" s="1"/>
    </row>
    <row r="55" spans="1:27" ht="14.4" x14ac:dyDescent="0.3">
      <c r="A55" s="1"/>
      <c r="B55" s="1"/>
      <c r="C55" s="1"/>
      <c r="D55" s="13">
        <v>15020</v>
      </c>
      <c r="E55" s="1" t="s">
        <v>60</v>
      </c>
      <c r="F55" s="14">
        <v>2701945</v>
      </c>
      <c r="G55" s="14">
        <v>2701945</v>
      </c>
      <c r="H55" s="14">
        <v>2701945</v>
      </c>
      <c r="I55" s="14">
        <v>2701945</v>
      </c>
      <c r="J55" s="14">
        <v>2702444</v>
      </c>
      <c r="K55" s="14">
        <v>3040564</v>
      </c>
      <c r="L55" s="14">
        <v>3044664</v>
      </c>
      <c r="M55" s="14">
        <v>3048259</v>
      </c>
      <c r="N55" s="14">
        <v>3053846</v>
      </c>
      <c r="O55" s="14">
        <v>3061417</v>
      </c>
      <c r="P55" s="14">
        <v>3061417</v>
      </c>
      <c r="Q55" s="14">
        <v>3208597</v>
      </c>
      <c r="R55" s="15">
        <v>0.01</v>
      </c>
      <c r="S55" s="11">
        <f t="shared" si="0"/>
        <v>1513622.6300000001</v>
      </c>
      <c r="T55" s="1" t="str">
        <f t="shared" si="1"/>
        <v>YES</v>
      </c>
      <c r="U55" s="15">
        <v>0.75</v>
      </c>
      <c r="V55" s="11">
        <f t="shared" si="2"/>
        <v>1135216.9725000001</v>
      </c>
      <c r="W55" s="1" t="str">
        <f t="shared" si="3"/>
        <v>Yes</v>
      </c>
      <c r="X55" s="1"/>
      <c r="Y55" s="1"/>
      <c r="Z55" s="1"/>
      <c r="AA55" s="1"/>
    </row>
    <row r="56" spans="1:27" ht="14.4" x14ac:dyDescent="0.3">
      <c r="A56" s="1"/>
      <c r="B56" s="1"/>
      <c r="C56" s="1"/>
      <c r="D56" s="13">
        <v>15100</v>
      </c>
      <c r="E56" s="1" t="s">
        <v>61</v>
      </c>
      <c r="F56" s="14">
        <v>569249</v>
      </c>
      <c r="G56" s="14">
        <v>888410</v>
      </c>
      <c r="H56" s="14">
        <v>899586</v>
      </c>
      <c r="I56" s="14">
        <v>588135</v>
      </c>
      <c r="J56" s="14">
        <v>571952</v>
      </c>
      <c r="K56" s="14">
        <v>558900</v>
      </c>
      <c r="L56" s="14">
        <v>561911</v>
      </c>
      <c r="M56" s="14">
        <v>583303</v>
      </c>
      <c r="N56" s="14">
        <v>575120</v>
      </c>
      <c r="O56" s="14">
        <v>562724</v>
      </c>
      <c r="P56" s="14">
        <v>572073</v>
      </c>
      <c r="Q56" s="14">
        <v>546774</v>
      </c>
      <c r="R56" s="15">
        <v>0.01</v>
      </c>
      <c r="S56" s="11">
        <f t="shared" si="0"/>
        <v>1513622.6300000001</v>
      </c>
      <c r="T56" s="1" t="str">
        <f t="shared" si="1"/>
        <v>NO</v>
      </c>
      <c r="U56" s="15">
        <v>0.75</v>
      </c>
      <c r="V56" s="11">
        <f t="shared" si="2"/>
        <v>1135216.9725000001</v>
      </c>
      <c r="W56" s="1" t="str">
        <f t="shared" si="3"/>
        <v>No</v>
      </c>
      <c r="X56" s="1"/>
      <c r="Y56" s="1"/>
      <c r="Z56" s="1"/>
      <c r="AA56" s="1"/>
    </row>
    <row r="57" spans="1:27" ht="14.4" x14ac:dyDescent="0.3">
      <c r="A57" s="1"/>
      <c r="B57" s="1"/>
      <c r="C57" s="1"/>
      <c r="D57" s="13">
        <v>15110</v>
      </c>
      <c r="E57" s="1" t="s">
        <v>62</v>
      </c>
      <c r="F57" s="14">
        <v>44615</v>
      </c>
      <c r="G57" s="14">
        <v>35692</v>
      </c>
      <c r="H57" s="14">
        <v>26769</v>
      </c>
      <c r="I57" s="14">
        <v>17846</v>
      </c>
      <c r="J57" s="14">
        <v>8923</v>
      </c>
      <c r="K57" s="1"/>
      <c r="L57" s="14">
        <v>108432</v>
      </c>
      <c r="M57" s="14">
        <v>80311</v>
      </c>
      <c r="N57" s="14">
        <v>80477</v>
      </c>
      <c r="O57" s="14">
        <v>78236</v>
      </c>
      <c r="P57" s="14">
        <v>68456</v>
      </c>
      <c r="Q57" s="14">
        <v>58676</v>
      </c>
      <c r="R57" s="15">
        <v>0.01</v>
      </c>
      <c r="S57" s="11">
        <f t="shared" si="0"/>
        <v>1513622.6300000001</v>
      </c>
      <c r="T57" s="1" t="str">
        <f t="shared" si="1"/>
        <v>NO</v>
      </c>
      <c r="U57" s="15">
        <v>0.75</v>
      </c>
      <c r="V57" s="11">
        <f t="shared" si="2"/>
        <v>1135216.9725000001</v>
      </c>
      <c r="W57" s="1" t="str">
        <f t="shared" si="3"/>
        <v>No</v>
      </c>
      <c r="X57" s="1"/>
      <c r="Y57" s="1"/>
      <c r="Z57" s="1"/>
      <c r="AA57" s="1"/>
    </row>
    <row r="58" spans="1:27" ht="14.4" x14ac:dyDescent="0.3">
      <c r="A58" s="1"/>
      <c r="B58" s="1"/>
      <c r="C58" s="1"/>
      <c r="D58" s="13">
        <v>15112</v>
      </c>
      <c r="E58" s="1" t="s">
        <v>63</v>
      </c>
      <c r="F58" s="14">
        <v>96423</v>
      </c>
      <c r="G58" s="14">
        <v>1175</v>
      </c>
      <c r="H58" s="14">
        <v>70906</v>
      </c>
      <c r="I58" s="14">
        <v>-24953</v>
      </c>
      <c r="J58" s="14">
        <v>-142440</v>
      </c>
      <c r="K58" s="14">
        <v>-249330</v>
      </c>
      <c r="L58" s="14">
        <v>4878</v>
      </c>
      <c r="M58" s="14">
        <v>-113280</v>
      </c>
      <c r="N58" s="14">
        <v>201296</v>
      </c>
      <c r="O58" s="14">
        <v>-17051</v>
      </c>
      <c r="P58" s="14">
        <v>-274867</v>
      </c>
      <c r="Q58" s="14">
        <v>235598</v>
      </c>
      <c r="R58" s="15">
        <v>0.01</v>
      </c>
      <c r="S58" s="11">
        <f t="shared" si="0"/>
        <v>1513622.6300000001</v>
      </c>
      <c r="T58" s="1" t="str">
        <f t="shared" si="1"/>
        <v>NO</v>
      </c>
      <c r="U58" s="15">
        <v>0.75</v>
      </c>
      <c r="V58" s="11">
        <f t="shared" si="2"/>
        <v>1135216.9725000001</v>
      </c>
      <c r="W58" s="1" t="str">
        <f t="shared" si="3"/>
        <v>No</v>
      </c>
      <c r="X58" s="1"/>
      <c r="Y58" s="1"/>
      <c r="Z58" s="1"/>
      <c r="AA58" s="1"/>
    </row>
    <row r="59" spans="1:27" ht="14.4" x14ac:dyDescent="0.3">
      <c r="A59" s="1"/>
      <c r="B59" s="1"/>
      <c r="C59" s="1"/>
      <c r="D59" s="13">
        <v>15120</v>
      </c>
      <c r="E59" s="1" t="s">
        <v>64</v>
      </c>
      <c r="F59" s="14">
        <v>286123</v>
      </c>
      <c r="G59" s="14">
        <v>229302</v>
      </c>
      <c r="H59" s="14">
        <v>172481</v>
      </c>
      <c r="I59" s="14">
        <v>115659</v>
      </c>
      <c r="J59" s="14">
        <v>58838</v>
      </c>
      <c r="K59" s="14">
        <v>13960</v>
      </c>
      <c r="L59" s="14">
        <v>729433</v>
      </c>
      <c r="M59" s="14">
        <v>672612</v>
      </c>
      <c r="N59" s="14">
        <v>581436</v>
      </c>
      <c r="O59" s="14">
        <v>672771</v>
      </c>
      <c r="P59" s="14">
        <v>588675</v>
      </c>
      <c r="Q59" s="14">
        <v>632202</v>
      </c>
      <c r="R59" s="15">
        <v>0.01</v>
      </c>
      <c r="S59" s="11">
        <f t="shared" si="0"/>
        <v>1513622.6300000001</v>
      </c>
      <c r="T59" s="1" t="str">
        <f t="shared" si="1"/>
        <v>NO</v>
      </c>
      <c r="U59" s="15">
        <v>0.75</v>
      </c>
      <c r="V59" s="11">
        <f t="shared" si="2"/>
        <v>1135216.9725000001</v>
      </c>
      <c r="W59" s="1" t="str">
        <f t="shared" si="3"/>
        <v>No</v>
      </c>
      <c r="X59" s="1"/>
      <c r="Y59" s="1"/>
      <c r="Z59" s="1"/>
      <c r="AA59" s="1"/>
    </row>
    <row r="60" spans="1:27" ht="14.4" x14ac:dyDescent="0.3">
      <c r="A60" s="1"/>
      <c r="B60" s="1"/>
      <c r="C60" s="1"/>
      <c r="D60" s="13">
        <v>15122</v>
      </c>
      <c r="E60" s="1" t="s">
        <v>65</v>
      </c>
      <c r="F60" s="14">
        <v>2408</v>
      </c>
      <c r="G60" s="13">
        <v>688</v>
      </c>
      <c r="H60" s="14">
        <v>3096</v>
      </c>
      <c r="I60" s="14">
        <v>1376</v>
      </c>
      <c r="J60" s="13">
        <v>-344</v>
      </c>
      <c r="K60" s="14">
        <v>-2064</v>
      </c>
      <c r="L60" s="14">
        <v>5868</v>
      </c>
      <c r="M60" s="14">
        <v>3148</v>
      </c>
      <c r="N60" s="14">
        <v>6179</v>
      </c>
      <c r="O60" s="14">
        <v>4119</v>
      </c>
      <c r="P60" s="14">
        <v>2060</v>
      </c>
      <c r="Q60" s="14">
        <v>10736</v>
      </c>
      <c r="R60" s="15">
        <v>0.01</v>
      </c>
      <c r="S60" s="11">
        <f t="shared" si="0"/>
        <v>1513622.6300000001</v>
      </c>
      <c r="T60" s="1" t="str">
        <f t="shared" si="1"/>
        <v>NO</v>
      </c>
      <c r="U60" s="15">
        <v>0.75</v>
      </c>
      <c r="V60" s="11">
        <f t="shared" si="2"/>
        <v>1135216.9725000001</v>
      </c>
      <c r="W60" s="1" t="str">
        <f t="shared" si="3"/>
        <v>No</v>
      </c>
      <c r="X60" s="1"/>
      <c r="Y60" s="1"/>
      <c r="Z60" s="1"/>
      <c r="AA60" s="1"/>
    </row>
    <row r="61" spans="1:27" ht="14.4" x14ac:dyDescent="0.3">
      <c r="A61" s="1"/>
      <c r="B61" s="1"/>
      <c r="C61" s="1"/>
      <c r="D61" s="13">
        <v>15123</v>
      </c>
      <c r="E61" s="1" t="s">
        <v>66</v>
      </c>
      <c r="F61" s="14">
        <v>264634</v>
      </c>
      <c r="G61" s="14">
        <v>177173</v>
      </c>
      <c r="H61" s="14">
        <v>244996</v>
      </c>
      <c r="I61" s="14">
        <v>157535</v>
      </c>
      <c r="J61" s="14">
        <v>70074</v>
      </c>
      <c r="K61" s="14">
        <v>-17388</v>
      </c>
      <c r="L61" s="14">
        <v>595472</v>
      </c>
      <c r="M61" s="14">
        <v>508011</v>
      </c>
      <c r="N61" s="14">
        <v>537766</v>
      </c>
      <c r="O61" s="14">
        <v>535689</v>
      </c>
      <c r="P61" s="14">
        <v>431549</v>
      </c>
      <c r="Q61" s="14">
        <v>481708</v>
      </c>
      <c r="R61" s="15">
        <v>0.01</v>
      </c>
      <c r="S61" s="11">
        <f t="shared" si="0"/>
        <v>1513622.6300000001</v>
      </c>
      <c r="T61" s="1" t="str">
        <f t="shared" si="1"/>
        <v>NO</v>
      </c>
      <c r="U61" s="15">
        <v>0.75</v>
      </c>
      <c r="V61" s="11">
        <f t="shared" si="2"/>
        <v>1135216.9725000001</v>
      </c>
      <c r="W61" s="1" t="str">
        <f t="shared" si="3"/>
        <v>No</v>
      </c>
      <c r="X61" s="1"/>
      <c r="Y61" s="1"/>
      <c r="Z61" s="1"/>
      <c r="AA61" s="1"/>
    </row>
    <row r="62" spans="1:27" ht="14.4" x14ac:dyDescent="0.3">
      <c r="A62" s="1"/>
      <c r="B62" s="1"/>
      <c r="C62" s="1"/>
      <c r="D62" s="13">
        <v>15124</v>
      </c>
      <c r="E62" s="1" t="s">
        <v>67</v>
      </c>
      <c r="F62" s="14">
        <v>47557</v>
      </c>
      <c r="G62" s="14">
        <v>38045</v>
      </c>
      <c r="H62" s="14">
        <v>29425</v>
      </c>
      <c r="I62" s="14">
        <v>19914</v>
      </c>
      <c r="J62" s="14">
        <v>10402</v>
      </c>
      <c r="K62" s="14">
        <v>15001</v>
      </c>
      <c r="L62" s="14">
        <v>141795</v>
      </c>
      <c r="M62" s="14">
        <v>132283</v>
      </c>
      <c r="N62" s="14">
        <v>117498</v>
      </c>
      <c r="O62" s="14">
        <v>114322</v>
      </c>
      <c r="P62" s="14">
        <v>103580</v>
      </c>
      <c r="Q62" s="14">
        <v>89599</v>
      </c>
      <c r="R62" s="15">
        <v>0.01</v>
      </c>
      <c r="S62" s="11">
        <f t="shared" si="0"/>
        <v>1513622.6300000001</v>
      </c>
      <c r="T62" s="1" t="str">
        <f t="shared" si="1"/>
        <v>NO</v>
      </c>
      <c r="U62" s="15">
        <v>0.75</v>
      </c>
      <c r="V62" s="11">
        <f t="shared" si="2"/>
        <v>1135216.9725000001</v>
      </c>
      <c r="W62" s="1" t="str">
        <f t="shared" si="3"/>
        <v>No</v>
      </c>
      <c r="X62" s="1"/>
      <c r="Y62" s="1"/>
      <c r="Z62" s="1"/>
      <c r="AA62" s="1"/>
    </row>
    <row r="63" spans="1:27" ht="14.4" x14ac:dyDescent="0.3">
      <c r="A63" s="1"/>
      <c r="B63" s="1"/>
      <c r="C63" s="1"/>
      <c r="D63" s="13">
        <v>15125</v>
      </c>
      <c r="E63" s="1" t="s">
        <v>68</v>
      </c>
      <c r="F63" s="14">
        <v>16967</v>
      </c>
      <c r="G63" s="14">
        <v>8334</v>
      </c>
      <c r="H63" s="14">
        <v>25201</v>
      </c>
      <c r="I63" s="14">
        <v>16568</v>
      </c>
      <c r="J63" s="14">
        <v>7935</v>
      </c>
      <c r="K63" s="13">
        <v>-698</v>
      </c>
      <c r="L63" s="14">
        <v>16169</v>
      </c>
      <c r="M63" s="14">
        <v>7536</v>
      </c>
      <c r="N63" s="14">
        <v>30898</v>
      </c>
      <c r="O63" s="14">
        <v>33064</v>
      </c>
      <c r="P63" s="14">
        <v>18597</v>
      </c>
      <c r="Q63" s="14">
        <v>32050</v>
      </c>
      <c r="R63" s="15">
        <v>0.01</v>
      </c>
      <c r="S63" s="11">
        <f t="shared" si="0"/>
        <v>1513622.6300000001</v>
      </c>
      <c r="T63" s="1" t="str">
        <f t="shared" si="1"/>
        <v>NO</v>
      </c>
      <c r="U63" s="15">
        <v>0.75</v>
      </c>
      <c r="V63" s="11">
        <f t="shared" si="2"/>
        <v>1135216.9725000001</v>
      </c>
      <c r="W63" s="1" t="str">
        <f t="shared" si="3"/>
        <v>No</v>
      </c>
      <c r="X63" s="1"/>
      <c r="Y63" s="1"/>
      <c r="Z63" s="1"/>
      <c r="AA63" s="1"/>
    </row>
    <row r="64" spans="1:27" ht="14.4" x14ac:dyDescent="0.3">
      <c r="A64" s="1"/>
      <c r="B64" s="1"/>
      <c r="C64" s="1"/>
      <c r="D64" s="13">
        <v>15128</v>
      </c>
      <c r="E64" s="1" t="s">
        <v>69</v>
      </c>
      <c r="F64" s="14">
        <v>2559</v>
      </c>
      <c r="G64" s="14">
        <v>5434</v>
      </c>
      <c r="H64" s="14">
        <v>5559</v>
      </c>
      <c r="I64" s="14">
        <v>5559</v>
      </c>
      <c r="J64" s="14">
        <v>6759</v>
      </c>
      <c r="K64" s="14">
        <v>7912</v>
      </c>
      <c r="L64" s="14">
        <v>10316</v>
      </c>
      <c r="M64" s="14">
        <v>10316</v>
      </c>
      <c r="N64" s="14">
        <v>12189</v>
      </c>
      <c r="O64" s="14">
        <v>26915</v>
      </c>
      <c r="P64" s="14">
        <v>26915</v>
      </c>
      <c r="Q64" s="1"/>
      <c r="R64" s="15">
        <v>0.01</v>
      </c>
      <c r="S64" s="11">
        <f t="shared" si="0"/>
        <v>1513622.6300000001</v>
      </c>
      <c r="T64" s="1" t="str">
        <f t="shared" si="1"/>
        <v>NO</v>
      </c>
      <c r="U64" s="15">
        <v>0.75</v>
      </c>
      <c r="V64" s="11">
        <f t="shared" si="2"/>
        <v>1135216.9725000001</v>
      </c>
      <c r="W64" s="1" t="str">
        <f t="shared" si="3"/>
        <v>No</v>
      </c>
      <c r="X64" s="1"/>
      <c r="Y64" s="1"/>
      <c r="Z64" s="1"/>
      <c r="AA64" s="1"/>
    </row>
    <row r="65" spans="1:27" ht="14.4" x14ac:dyDescent="0.3">
      <c r="A65" s="1"/>
      <c r="B65" s="1"/>
      <c r="C65" s="1"/>
      <c r="D65" s="13">
        <v>15131</v>
      </c>
      <c r="E65" s="1" t="s">
        <v>70</v>
      </c>
      <c r="F65" s="1"/>
      <c r="G65" s="1"/>
      <c r="H65" s="1"/>
      <c r="I65" s="1"/>
      <c r="J65" s="1"/>
      <c r="K65" s="1"/>
      <c r="L65" s="1"/>
      <c r="M65" s="1"/>
      <c r="N65" s="1"/>
      <c r="O65" s="14">
        <v>-3362</v>
      </c>
      <c r="P65" s="14">
        <v>-6724</v>
      </c>
      <c r="Q65" s="1"/>
      <c r="R65" s="15">
        <v>0.01</v>
      </c>
      <c r="S65" s="11">
        <f t="shared" si="0"/>
        <v>1513622.6300000001</v>
      </c>
      <c r="T65" s="1" t="str">
        <f t="shared" si="1"/>
        <v>NO</v>
      </c>
      <c r="U65" s="15">
        <v>0.75</v>
      </c>
      <c r="V65" s="11">
        <f t="shared" si="2"/>
        <v>1135216.9725000001</v>
      </c>
      <c r="W65" s="1" t="str">
        <f t="shared" si="3"/>
        <v>No</v>
      </c>
      <c r="X65" s="1"/>
      <c r="Y65" s="1"/>
      <c r="Z65" s="1"/>
      <c r="AA65" s="1"/>
    </row>
    <row r="66" spans="1:27" ht="14.4" x14ac:dyDescent="0.3">
      <c r="A66" s="1"/>
      <c r="B66" s="1"/>
      <c r="C66" s="1"/>
      <c r="D66" s="13">
        <v>15134</v>
      </c>
      <c r="E66" s="1" t="s">
        <v>71</v>
      </c>
      <c r="F66" s="14">
        <v>8591</v>
      </c>
      <c r="G66" s="14">
        <v>6873</v>
      </c>
      <c r="H66" s="14">
        <v>5155</v>
      </c>
      <c r="I66" s="14">
        <v>3437</v>
      </c>
      <c r="J66" s="14">
        <v>1719</v>
      </c>
      <c r="K66" s="13">
        <v>1</v>
      </c>
      <c r="L66" s="14">
        <v>19900</v>
      </c>
      <c r="M66" s="14">
        <v>18182</v>
      </c>
      <c r="N66" s="14">
        <v>16213</v>
      </c>
      <c r="O66" s="14">
        <v>10320</v>
      </c>
      <c r="P66" s="14">
        <v>8518</v>
      </c>
      <c r="Q66" s="14">
        <v>10808</v>
      </c>
      <c r="R66" s="15">
        <v>0.01</v>
      </c>
      <c r="S66" s="11">
        <f t="shared" si="0"/>
        <v>1513622.6300000001</v>
      </c>
      <c r="T66" s="1" t="str">
        <f t="shared" si="1"/>
        <v>NO</v>
      </c>
      <c r="U66" s="15">
        <v>0.75</v>
      </c>
      <c r="V66" s="11">
        <f t="shared" si="2"/>
        <v>1135216.9725000001</v>
      </c>
      <c r="W66" s="1" t="str">
        <f t="shared" si="3"/>
        <v>No</v>
      </c>
      <c r="X66" s="1"/>
      <c r="Y66" s="1"/>
      <c r="Z66" s="1"/>
      <c r="AA66" s="1"/>
    </row>
    <row r="67" spans="1:27" ht="14.4" x14ac:dyDescent="0.3">
      <c r="A67" s="1"/>
      <c r="B67" s="1"/>
      <c r="C67" s="1"/>
      <c r="D67" s="13">
        <v>15135</v>
      </c>
      <c r="E67" s="1" t="s">
        <v>72</v>
      </c>
      <c r="F67" s="14">
        <v>59932</v>
      </c>
      <c r="G67" s="14">
        <v>56186</v>
      </c>
      <c r="H67" s="14">
        <v>52441</v>
      </c>
      <c r="I67" s="14">
        <v>48695</v>
      </c>
      <c r="J67" s="14">
        <v>44949</v>
      </c>
      <c r="K67" s="14">
        <v>41203</v>
      </c>
      <c r="L67" s="14">
        <v>37458</v>
      </c>
      <c r="M67" s="14">
        <v>33712</v>
      </c>
      <c r="N67" s="14">
        <v>29966</v>
      </c>
      <c r="O67" s="14">
        <v>26220</v>
      </c>
      <c r="P67" s="14">
        <v>22475</v>
      </c>
      <c r="Q67" s="14">
        <v>18729</v>
      </c>
      <c r="R67" s="15">
        <v>0.01</v>
      </c>
      <c r="S67" s="11">
        <f t="shared" si="0"/>
        <v>1513622.6300000001</v>
      </c>
      <c r="T67" s="1" t="str">
        <f t="shared" si="1"/>
        <v>NO</v>
      </c>
      <c r="U67" s="15">
        <v>0.75</v>
      </c>
      <c r="V67" s="11">
        <f t="shared" si="2"/>
        <v>1135216.9725000001</v>
      </c>
      <c r="W67" s="1" t="str">
        <f t="shared" si="3"/>
        <v>No</v>
      </c>
      <c r="X67" s="1"/>
      <c r="Y67" s="1"/>
      <c r="Z67" s="1"/>
      <c r="AA67" s="1"/>
    </row>
    <row r="68" spans="1:27" ht="14.4" x14ac:dyDescent="0.3">
      <c r="A68" s="1"/>
      <c r="B68" s="1"/>
      <c r="C68" s="1"/>
      <c r="D68" s="13">
        <v>15140</v>
      </c>
      <c r="E68" s="1" t="s">
        <v>73</v>
      </c>
      <c r="F68" s="14">
        <v>463543</v>
      </c>
      <c r="G68" s="14">
        <v>639487</v>
      </c>
      <c r="H68" s="14">
        <v>649201</v>
      </c>
      <c r="I68" s="14">
        <v>749917</v>
      </c>
      <c r="J68" s="14">
        <v>681468</v>
      </c>
      <c r="K68" s="14">
        <v>1163517</v>
      </c>
      <c r="L68" s="14">
        <v>1192166</v>
      </c>
      <c r="M68" s="14">
        <v>1308965</v>
      </c>
      <c r="N68" s="14">
        <v>1310119</v>
      </c>
      <c r="O68" s="14">
        <v>1442557</v>
      </c>
      <c r="P68" s="14">
        <v>1450231</v>
      </c>
      <c r="Q68" s="14">
        <v>998277</v>
      </c>
      <c r="R68" s="15">
        <v>0.01</v>
      </c>
      <c r="S68" s="11">
        <f t="shared" si="0"/>
        <v>1513622.6300000001</v>
      </c>
      <c r="T68" s="1" t="str">
        <f t="shared" si="1"/>
        <v>NO</v>
      </c>
      <c r="U68" s="15">
        <v>0.75</v>
      </c>
      <c r="V68" s="11">
        <f t="shared" si="2"/>
        <v>1135216.9725000001</v>
      </c>
      <c r="W68" s="1" t="str">
        <f t="shared" si="3"/>
        <v>No</v>
      </c>
      <c r="X68" s="1"/>
      <c r="Y68" s="1"/>
      <c r="Z68" s="1"/>
      <c r="AA68" s="1"/>
    </row>
    <row r="69" spans="1:27" ht="14.4" x14ac:dyDescent="0.3">
      <c r="A69" s="1"/>
      <c r="B69" s="1"/>
      <c r="C69" s="1"/>
      <c r="D69" s="13">
        <v>15145</v>
      </c>
      <c r="E69" s="1" t="s">
        <v>74</v>
      </c>
      <c r="F69" s="14">
        <v>1814986</v>
      </c>
      <c r="G69" s="14">
        <v>1814986</v>
      </c>
      <c r="H69" s="14">
        <v>1814986</v>
      </c>
      <c r="I69" s="14">
        <v>1814986</v>
      </c>
      <c r="J69" s="14">
        <v>1814986</v>
      </c>
      <c r="K69" s="14">
        <v>1814986</v>
      </c>
      <c r="L69" s="14">
        <v>1814986</v>
      </c>
      <c r="M69" s="14">
        <v>1814986</v>
      </c>
      <c r="N69" s="14">
        <v>3469744</v>
      </c>
      <c r="O69" s="14">
        <v>3469744</v>
      </c>
      <c r="P69" s="14">
        <v>3469744</v>
      </c>
      <c r="Q69" s="14">
        <v>1083412</v>
      </c>
      <c r="R69" s="15">
        <v>0.01</v>
      </c>
      <c r="S69" s="11">
        <f t="shared" si="0"/>
        <v>1513622.6300000001</v>
      </c>
      <c r="T69" s="1" t="str">
        <f t="shared" si="1"/>
        <v>NO</v>
      </c>
      <c r="U69" s="15">
        <v>0.75</v>
      </c>
      <c r="V69" s="11">
        <f t="shared" si="2"/>
        <v>1135216.9725000001</v>
      </c>
      <c r="W69" s="1" t="str">
        <f t="shared" si="3"/>
        <v>No</v>
      </c>
      <c r="X69" s="1"/>
      <c r="Y69" s="1"/>
      <c r="Z69" s="1"/>
      <c r="AA69" s="1"/>
    </row>
    <row r="70" spans="1:27" ht="14.4" x14ac:dyDescent="0.3">
      <c r="A70" s="1"/>
      <c r="B70" s="1"/>
      <c r="C70" s="1"/>
      <c r="D70" s="13">
        <v>15148</v>
      </c>
      <c r="E70" s="1" t="s">
        <v>75</v>
      </c>
      <c r="F70" s="14">
        <v>340216</v>
      </c>
      <c r="G70" s="14">
        <v>324279</v>
      </c>
      <c r="H70" s="14">
        <v>368829</v>
      </c>
      <c r="I70" s="14">
        <v>339851</v>
      </c>
      <c r="J70" s="14">
        <v>320002</v>
      </c>
      <c r="K70" s="14">
        <v>312512</v>
      </c>
      <c r="L70" s="14">
        <v>283534</v>
      </c>
      <c r="M70" s="14">
        <v>258658</v>
      </c>
      <c r="N70" s="14">
        <v>300207</v>
      </c>
      <c r="O70" s="14">
        <v>270267</v>
      </c>
      <c r="P70" s="14">
        <v>240326</v>
      </c>
      <c r="Q70" s="14">
        <v>319343</v>
      </c>
      <c r="R70" s="15">
        <v>0.01</v>
      </c>
      <c r="S70" s="11">
        <f t="shared" si="0"/>
        <v>1513622.6300000001</v>
      </c>
      <c r="T70" s="1" t="str">
        <f t="shared" si="1"/>
        <v>NO</v>
      </c>
      <c r="U70" s="15">
        <v>0.75</v>
      </c>
      <c r="V70" s="11">
        <f t="shared" si="2"/>
        <v>1135216.9725000001</v>
      </c>
      <c r="W70" s="1" t="str">
        <f t="shared" si="3"/>
        <v>No</v>
      </c>
      <c r="X70" s="1"/>
      <c r="Y70" s="1"/>
      <c r="Z70" s="1"/>
      <c r="AA70" s="1"/>
    </row>
    <row r="71" spans="1:27" ht="14.4" x14ac:dyDescent="0.3">
      <c r="A71" s="1"/>
      <c r="B71" s="1"/>
      <c r="C71" s="1"/>
      <c r="D71" s="13">
        <v>15150</v>
      </c>
      <c r="E71" s="1" t="s">
        <v>76</v>
      </c>
      <c r="F71" s="14">
        <v>85119</v>
      </c>
      <c r="G71" s="14">
        <v>693623</v>
      </c>
      <c r="H71" s="14">
        <v>-209364</v>
      </c>
      <c r="I71" s="14">
        <v>-146292</v>
      </c>
      <c r="J71" s="14">
        <v>-194319</v>
      </c>
      <c r="K71" s="14">
        <v>-221695</v>
      </c>
      <c r="L71" s="14">
        <v>317775</v>
      </c>
      <c r="M71" s="14">
        <v>309190</v>
      </c>
      <c r="N71" s="14">
        <v>-177259</v>
      </c>
      <c r="O71" s="14">
        <v>-193923</v>
      </c>
      <c r="P71" s="14">
        <v>-137393</v>
      </c>
      <c r="Q71" s="14">
        <v>-5282</v>
      </c>
      <c r="R71" s="15">
        <v>0.01</v>
      </c>
      <c r="S71" s="11">
        <f t="shared" si="0"/>
        <v>1513622.6300000001</v>
      </c>
      <c r="T71" s="1" t="str">
        <f t="shared" si="1"/>
        <v>NO</v>
      </c>
      <c r="U71" s="15">
        <v>0.75</v>
      </c>
      <c r="V71" s="11">
        <f t="shared" si="2"/>
        <v>1135216.9725000001</v>
      </c>
      <c r="W71" s="1" t="str">
        <f t="shared" si="3"/>
        <v>No</v>
      </c>
      <c r="X71" s="1"/>
      <c r="Y71" s="1"/>
      <c r="Z71" s="1"/>
      <c r="AA71" s="1"/>
    </row>
    <row r="72" spans="1:27" ht="14.4" x14ac:dyDescent="0.3">
      <c r="A72" s="1"/>
      <c r="B72" s="1"/>
      <c r="C72" s="1"/>
      <c r="D72" s="13">
        <v>15153</v>
      </c>
      <c r="E72" s="1" t="s">
        <v>77</v>
      </c>
      <c r="F72" s="1"/>
      <c r="G72" s="1"/>
      <c r="H72" s="1"/>
      <c r="I72" s="1"/>
      <c r="J72" s="1"/>
      <c r="K72" s="1"/>
      <c r="L72" s="1"/>
      <c r="M72" s="1"/>
      <c r="N72" s="1"/>
      <c r="O72" s="14">
        <v>125000</v>
      </c>
      <c r="P72" s="14">
        <v>112500</v>
      </c>
      <c r="Q72" s="14">
        <v>100000</v>
      </c>
      <c r="R72" s="15">
        <v>0.01</v>
      </c>
      <c r="S72" s="11">
        <f t="shared" si="0"/>
        <v>1513622.6300000001</v>
      </c>
      <c r="T72" s="1" t="str">
        <f t="shared" si="1"/>
        <v>NO</v>
      </c>
      <c r="U72" s="15">
        <v>0.75</v>
      </c>
      <c r="V72" s="11">
        <f t="shared" si="2"/>
        <v>1135216.9725000001</v>
      </c>
      <c r="W72" s="1" t="str">
        <f t="shared" si="3"/>
        <v>No</v>
      </c>
      <c r="X72" s="1"/>
      <c r="Y72" s="1"/>
      <c r="Z72" s="1"/>
      <c r="AA72" s="1"/>
    </row>
    <row r="73" spans="1:27" ht="14.4" x14ac:dyDescent="0.3">
      <c r="A73" s="1"/>
      <c r="B73" s="1"/>
      <c r="C73" s="1"/>
      <c r="D73" s="13">
        <v>15160</v>
      </c>
      <c r="E73" s="1" t="s">
        <v>78</v>
      </c>
      <c r="F73" s="1"/>
      <c r="G73" s="14">
        <v>250000</v>
      </c>
      <c r="H73" s="14">
        <v>616886</v>
      </c>
      <c r="I73" s="1"/>
      <c r="J73" s="1"/>
      <c r="K73" s="1"/>
      <c r="L73" s="13">
        <v>154</v>
      </c>
      <c r="M73" s="14">
        <v>-49846</v>
      </c>
      <c r="N73" s="14">
        <v>326638263</v>
      </c>
      <c r="O73" s="14">
        <v>327076880</v>
      </c>
      <c r="P73" s="14">
        <v>327528296</v>
      </c>
      <c r="Q73" s="1"/>
      <c r="R73" s="15">
        <v>0.01</v>
      </c>
      <c r="S73" s="11">
        <f t="shared" si="0"/>
        <v>1513622.6300000001</v>
      </c>
      <c r="T73" s="1" t="str">
        <f t="shared" si="1"/>
        <v>NO</v>
      </c>
      <c r="U73" s="15">
        <v>0.75</v>
      </c>
      <c r="V73" s="11">
        <f t="shared" si="2"/>
        <v>1135216.9725000001</v>
      </c>
      <c r="W73" s="1" t="str">
        <f t="shared" si="3"/>
        <v>No</v>
      </c>
      <c r="X73" s="1"/>
      <c r="Y73" s="1"/>
      <c r="Z73" s="1"/>
      <c r="AA73" s="1"/>
    </row>
    <row r="74" spans="1:27" ht="14.4" x14ac:dyDescent="0.3">
      <c r="A74" s="1"/>
      <c r="B74" s="1"/>
      <c r="C74" s="1"/>
      <c r="D74" s="13">
        <v>15170</v>
      </c>
      <c r="E74" s="1" t="s">
        <v>79</v>
      </c>
      <c r="F74" s="14">
        <v>5315275</v>
      </c>
      <c r="G74" s="14">
        <v>5315275</v>
      </c>
      <c r="H74" s="14">
        <v>5315275</v>
      </c>
      <c r="I74" s="14">
        <v>5315275</v>
      </c>
      <c r="J74" s="14">
        <v>5315275</v>
      </c>
      <c r="K74" s="14">
        <v>5315275</v>
      </c>
      <c r="L74" s="14">
        <v>5315275</v>
      </c>
      <c r="M74" s="14">
        <v>5315275</v>
      </c>
      <c r="N74" s="14">
        <v>5315275</v>
      </c>
      <c r="O74" s="14">
        <v>5315275</v>
      </c>
      <c r="P74" s="14">
        <v>5315275</v>
      </c>
      <c r="Q74" s="14">
        <v>11747872</v>
      </c>
      <c r="R74" s="15">
        <v>0.01</v>
      </c>
      <c r="S74" s="11">
        <f t="shared" si="0"/>
        <v>1513622.6300000001</v>
      </c>
      <c r="T74" s="1" t="str">
        <f t="shared" si="1"/>
        <v>YES</v>
      </c>
      <c r="U74" s="15">
        <v>0.75</v>
      </c>
      <c r="V74" s="11">
        <f t="shared" si="2"/>
        <v>1135216.9725000001</v>
      </c>
      <c r="W74" s="1" t="str">
        <f t="shared" si="3"/>
        <v>Yes</v>
      </c>
      <c r="X74" s="1"/>
      <c r="Y74" s="1"/>
      <c r="Z74" s="1"/>
      <c r="AA74" s="1"/>
    </row>
    <row r="75" spans="1:27" ht="14.4" x14ac:dyDescent="0.3">
      <c r="A75" s="1"/>
      <c r="B75" s="1"/>
      <c r="C75" s="1"/>
      <c r="D75" s="13">
        <v>15180</v>
      </c>
      <c r="E75" s="1" t="s">
        <v>80</v>
      </c>
      <c r="F75" s="14">
        <v>6548849</v>
      </c>
      <c r="G75" s="14">
        <v>6548849</v>
      </c>
      <c r="H75" s="14">
        <v>6548849</v>
      </c>
      <c r="I75" s="14">
        <v>6548849</v>
      </c>
      <c r="J75" s="14">
        <v>6548849</v>
      </c>
      <c r="K75" s="14">
        <v>6548849</v>
      </c>
      <c r="L75" s="14">
        <v>6548849</v>
      </c>
      <c r="M75" s="14">
        <v>6548849</v>
      </c>
      <c r="N75" s="14">
        <v>6548849</v>
      </c>
      <c r="O75" s="14">
        <v>6548849</v>
      </c>
      <c r="P75" s="14">
        <v>6548849</v>
      </c>
      <c r="Q75" s="14">
        <v>5261694</v>
      </c>
      <c r="R75" s="15">
        <v>0.01</v>
      </c>
      <c r="S75" s="11">
        <f t="shared" si="0"/>
        <v>1513622.6300000001</v>
      </c>
      <c r="T75" s="1" t="str">
        <f t="shared" si="1"/>
        <v>YES</v>
      </c>
      <c r="U75" s="15">
        <v>0.75</v>
      </c>
      <c r="V75" s="11">
        <f t="shared" si="2"/>
        <v>1135216.9725000001</v>
      </c>
      <c r="W75" s="1" t="str">
        <f t="shared" si="3"/>
        <v>Yes</v>
      </c>
      <c r="X75" s="1"/>
      <c r="Y75" s="1"/>
      <c r="Z75" s="1"/>
      <c r="AA75" s="1"/>
    </row>
    <row r="76" spans="1:27" ht="14.4" x14ac:dyDescent="0.3">
      <c r="A76" s="1"/>
      <c r="B76" s="1"/>
      <c r="C76" s="1"/>
      <c r="D76" s="13">
        <v>15190</v>
      </c>
      <c r="E76" s="1" t="s">
        <v>81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4">
        <v>45000</v>
      </c>
      <c r="R76" s="15">
        <v>0.01</v>
      </c>
      <c r="S76" s="11">
        <f t="shared" si="0"/>
        <v>1513622.6300000001</v>
      </c>
      <c r="T76" s="1" t="str">
        <f t="shared" si="1"/>
        <v>NO</v>
      </c>
      <c r="U76" s="15">
        <v>0.75</v>
      </c>
      <c r="V76" s="11">
        <f t="shared" si="2"/>
        <v>1135216.9725000001</v>
      </c>
      <c r="W76" s="1" t="str">
        <f t="shared" si="3"/>
        <v>No</v>
      </c>
      <c r="X76" s="1"/>
      <c r="Y76" s="1"/>
      <c r="Z76" s="1"/>
      <c r="AA76" s="1"/>
    </row>
    <row r="77" spans="1:27" ht="14.4" x14ac:dyDescent="0.3">
      <c r="A77" s="1"/>
      <c r="B77" s="1"/>
      <c r="C77" s="1"/>
      <c r="D77" s="13">
        <v>15220</v>
      </c>
      <c r="E77" s="1" t="s">
        <v>82</v>
      </c>
      <c r="F77" s="14">
        <v>193248</v>
      </c>
      <c r="G77" s="14">
        <v>193248</v>
      </c>
      <c r="H77" s="14">
        <v>193248</v>
      </c>
      <c r="I77" s="14">
        <v>193248</v>
      </c>
      <c r="J77" s="14">
        <v>193248</v>
      </c>
      <c r="K77" s="14">
        <v>193248</v>
      </c>
      <c r="L77" s="14">
        <v>193248</v>
      </c>
      <c r="M77" s="14">
        <v>193248</v>
      </c>
      <c r="N77" s="14">
        <v>193248</v>
      </c>
      <c r="O77" s="14">
        <v>193248</v>
      </c>
      <c r="P77" s="14">
        <v>193248</v>
      </c>
      <c r="Q77" s="14">
        <v>193248</v>
      </c>
      <c r="R77" s="15">
        <v>0.01</v>
      </c>
      <c r="S77" s="11">
        <f t="shared" si="0"/>
        <v>1513622.6300000001</v>
      </c>
      <c r="T77" s="1" t="str">
        <f t="shared" si="1"/>
        <v>NO</v>
      </c>
      <c r="U77" s="15">
        <v>0.75</v>
      </c>
      <c r="V77" s="11">
        <f t="shared" si="2"/>
        <v>1135216.9725000001</v>
      </c>
      <c r="W77" s="1" t="str">
        <f t="shared" si="3"/>
        <v>No</v>
      </c>
      <c r="X77" s="1"/>
      <c r="Y77" s="1"/>
      <c r="Z77" s="1"/>
      <c r="AA77" s="1"/>
    </row>
    <row r="78" spans="1:27" ht="14.4" x14ac:dyDescent="0.3">
      <c r="A78" s="1"/>
      <c r="B78" s="1"/>
      <c r="C78" s="1"/>
      <c r="D78" s="13">
        <v>15230</v>
      </c>
      <c r="E78" s="1" t="s">
        <v>83</v>
      </c>
      <c r="F78" s="14">
        <v>990499</v>
      </c>
      <c r="G78" s="14">
        <v>1005051</v>
      </c>
      <c r="H78" s="14">
        <v>971412</v>
      </c>
      <c r="I78" s="14">
        <v>889158</v>
      </c>
      <c r="J78" s="14">
        <v>924533</v>
      </c>
      <c r="K78" s="14">
        <v>964408</v>
      </c>
      <c r="L78" s="14">
        <v>857430</v>
      </c>
      <c r="M78" s="14">
        <v>878271</v>
      </c>
      <c r="N78" s="14">
        <v>890932</v>
      </c>
      <c r="O78" s="14">
        <v>882561</v>
      </c>
      <c r="P78" s="14">
        <v>864022</v>
      </c>
      <c r="Q78" s="14">
        <v>768178</v>
      </c>
      <c r="R78" s="15">
        <v>0.01</v>
      </c>
      <c r="S78" s="11">
        <f t="shared" si="0"/>
        <v>1513622.6300000001</v>
      </c>
      <c r="T78" s="1" t="str">
        <f t="shared" si="1"/>
        <v>NO</v>
      </c>
      <c r="U78" s="15">
        <v>0.75</v>
      </c>
      <c r="V78" s="11">
        <f t="shared" ref="V78:V141" si="4">S78*U78</f>
        <v>1135216.9725000001</v>
      </c>
      <c r="W78" s="1" t="str">
        <f t="shared" ref="W78:W141" si="5">IF(ABS(Q78)&gt;V78,"Yes","No")</f>
        <v>No</v>
      </c>
      <c r="X78" s="1"/>
      <c r="Y78" s="1"/>
      <c r="Z78" s="1"/>
      <c r="AA78" s="1"/>
    </row>
    <row r="79" spans="1:27" ht="14.4" x14ac:dyDescent="0.3">
      <c r="A79" s="1"/>
      <c r="B79" s="1"/>
      <c r="C79" s="1"/>
      <c r="D79" s="13">
        <v>15231</v>
      </c>
      <c r="E79" s="1" t="s">
        <v>84</v>
      </c>
      <c r="F79" s="13">
        <v>351</v>
      </c>
      <c r="G79" s="13">
        <v>351</v>
      </c>
      <c r="H79" s="13">
        <v>351</v>
      </c>
      <c r="I79" s="13">
        <v>351</v>
      </c>
      <c r="J79" s="13">
        <v>351</v>
      </c>
      <c r="K79" s="13">
        <v>351</v>
      </c>
      <c r="L79" s="13">
        <v>351</v>
      </c>
      <c r="M79" s="13">
        <v>351</v>
      </c>
      <c r="N79" s="13">
        <v>351</v>
      </c>
      <c r="O79" s="13">
        <v>351</v>
      </c>
      <c r="P79" s="13">
        <v>351</v>
      </c>
      <c r="Q79" s="13">
        <v>351</v>
      </c>
      <c r="R79" s="15">
        <v>0.01</v>
      </c>
      <c r="S79" s="11">
        <f t="shared" si="0"/>
        <v>1513622.6300000001</v>
      </c>
      <c r="T79" s="1" t="str">
        <f t="shared" si="1"/>
        <v>NO</v>
      </c>
      <c r="U79" s="15">
        <v>0.75</v>
      </c>
      <c r="V79" s="11">
        <f t="shared" si="4"/>
        <v>1135216.9725000001</v>
      </c>
      <c r="W79" s="1" t="str">
        <f t="shared" si="5"/>
        <v>No</v>
      </c>
      <c r="X79" s="1"/>
      <c r="Y79" s="1"/>
      <c r="Z79" s="1"/>
      <c r="AA79" s="1"/>
    </row>
    <row r="80" spans="1:27" ht="14.4" x14ac:dyDescent="0.3">
      <c r="A80" s="1"/>
      <c r="B80" s="1"/>
      <c r="C80" s="1"/>
      <c r="D80" s="13">
        <v>15232</v>
      </c>
      <c r="E80" s="1" t="s">
        <v>85</v>
      </c>
      <c r="F80" s="13">
        <v>170</v>
      </c>
      <c r="G80" s="13">
        <v>170</v>
      </c>
      <c r="H80" s="13">
        <v>170</v>
      </c>
      <c r="I80" s="13">
        <v>170</v>
      </c>
      <c r="J80" s="13">
        <v>170</v>
      </c>
      <c r="K80" s="13">
        <v>170</v>
      </c>
      <c r="L80" s="13">
        <v>170</v>
      </c>
      <c r="M80" s="13">
        <v>170</v>
      </c>
      <c r="N80" s="13">
        <v>170</v>
      </c>
      <c r="O80" s="13">
        <v>170</v>
      </c>
      <c r="P80" s="13">
        <v>170</v>
      </c>
      <c r="Q80" s="13">
        <v>170</v>
      </c>
      <c r="R80" s="15">
        <v>0.01</v>
      </c>
      <c r="S80" s="11">
        <f t="shared" si="0"/>
        <v>1513622.6300000001</v>
      </c>
      <c r="T80" s="1" t="str">
        <f t="shared" si="1"/>
        <v>NO</v>
      </c>
      <c r="U80" s="15">
        <v>0.75</v>
      </c>
      <c r="V80" s="11">
        <f t="shared" si="4"/>
        <v>1135216.9725000001</v>
      </c>
      <c r="W80" s="1" t="str">
        <f t="shared" si="5"/>
        <v>No</v>
      </c>
      <c r="X80" s="1"/>
      <c r="Y80" s="1"/>
      <c r="Z80" s="1"/>
      <c r="AA80" s="1"/>
    </row>
    <row r="81" spans="1:27" ht="14.4" x14ac:dyDescent="0.3">
      <c r="A81" s="1"/>
      <c r="B81" s="1"/>
      <c r="C81" s="1"/>
      <c r="D81" s="13">
        <v>15233</v>
      </c>
      <c r="E81" s="1" t="s">
        <v>86</v>
      </c>
      <c r="F81" s="14">
        <v>4430</v>
      </c>
      <c r="G81" s="14">
        <v>4430</v>
      </c>
      <c r="H81" s="14">
        <v>4430</v>
      </c>
      <c r="I81" s="14">
        <v>4430</v>
      </c>
      <c r="J81" s="14">
        <v>4430</v>
      </c>
      <c r="K81" s="14">
        <v>4430</v>
      </c>
      <c r="L81" s="14">
        <v>4430</v>
      </c>
      <c r="M81" s="14">
        <v>4430</v>
      </c>
      <c r="N81" s="14">
        <v>4430</v>
      </c>
      <c r="O81" s="14">
        <v>4430</v>
      </c>
      <c r="P81" s="14">
        <v>4430</v>
      </c>
      <c r="Q81" s="14">
        <v>4430</v>
      </c>
      <c r="R81" s="15">
        <v>0.01</v>
      </c>
      <c r="S81" s="11">
        <f t="shared" si="0"/>
        <v>1513622.6300000001</v>
      </c>
      <c r="T81" s="1" t="str">
        <f t="shared" si="1"/>
        <v>NO</v>
      </c>
      <c r="U81" s="15">
        <v>0.75</v>
      </c>
      <c r="V81" s="11">
        <f t="shared" si="4"/>
        <v>1135216.9725000001</v>
      </c>
      <c r="W81" s="1" t="str">
        <f t="shared" si="5"/>
        <v>No</v>
      </c>
      <c r="X81" s="1"/>
      <c r="Y81" s="1"/>
      <c r="Z81" s="1"/>
      <c r="AA81" s="1"/>
    </row>
    <row r="82" spans="1:27" ht="14.4" x14ac:dyDescent="0.3">
      <c r="A82" s="1"/>
      <c r="B82" s="1"/>
      <c r="C82" s="1"/>
      <c r="D82" s="13">
        <v>15235</v>
      </c>
      <c r="E82" s="1" t="s">
        <v>83</v>
      </c>
      <c r="F82" s="14">
        <v>1000</v>
      </c>
      <c r="G82" s="14">
        <v>1000</v>
      </c>
      <c r="H82" s="14">
        <v>1000</v>
      </c>
      <c r="I82" s="14">
        <v>1000</v>
      </c>
      <c r="J82" s="14">
        <v>1000</v>
      </c>
      <c r="K82" s="14">
        <v>1000</v>
      </c>
      <c r="L82" s="14">
        <v>1000</v>
      </c>
      <c r="M82" s="14">
        <v>1000</v>
      </c>
      <c r="N82" s="14">
        <v>1000</v>
      </c>
      <c r="O82" s="14">
        <v>1000</v>
      </c>
      <c r="P82" s="14">
        <v>1000</v>
      </c>
      <c r="Q82" s="14">
        <v>1000</v>
      </c>
      <c r="R82" s="15">
        <v>0.01</v>
      </c>
      <c r="S82" s="11">
        <f t="shared" si="0"/>
        <v>1513622.6300000001</v>
      </c>
      <c r="T82" s="1" t="str">
        <f t="shared" si="1"/>
        <v>NO</v>
      </c>
      <c r="U82" s="15">
        <v>0.75</v>
      </c>
      <c r="V82" s="11">
        <f t="shared" si="4"/>
        <v>1135216.9725000001</v>
      </c>
      <c r="W82" s="1" t="str">
        <f t="shared" si="5"/>
        <v>No</v>
      </c>
      <c r="X82" s="1"/>
      <c r="Y82" s="1"/>
      <c r="Z82" s="1"/>
      <c r="AA82" s="1"/>
    </row>
    <row r="83" spans="1:27" ht="14.4" x14ac:dyDescent="0.3">
      <c r="A83" s="1"/>
      <c r="B83" s="1"/>
      <c r="C83" s="1"/>
      <c r="D83" s="13">
        <v>15236</v>
      </c>
      <c r="E83" s="1" t="s">
        <v>87</v>
      </c>
      <c r="F83" s="14">
        <v>15000</v>
      </c>
      <c r="G83" s="14">
        <v>15000</v>
      </c>
      <c r="H83" s="14">
        <v>15000</v>
      </c>
      <c r="I83" s="14">
        <v>15000</v>
      </c>
      <c r="J83" s="14">
        <v>15000</v>
      </c>
      <c r="K83" s="14">
        <v>15000</v>
      </c>
      <c r="L83" s="14">
        <v>15000</v>
      </c>
      <c r="M83" s="14">
        <v>15000</v>
      </c>
      <c r="N83" s="14">
        <v>15000</v>
      </c>
      <c r="O83" s="14">
        <v>15000</v>
      </c>
      <c r="P83" s="14">
        <v>15000</v>
      </c>
      <c r="Q83" s="14">
        <v>15000</v>
      </c>
      <c r="R83" s="15">
        <v>0.01</v>
      </c>
      <c r="S83" s="11">
        <f t="shared" si="0"/>
        <v>1513622.6300000001</v>
      </c>
      <c r="T83" s="1" t="str">
        <f t="shared" si="1"/>
        <v>NO</v>
      </c>
      <c r="U83" s="15">
        <v>0.75</v>
      </c>
      <c r="V83" s="11">
        <f t="shared" si="4"/>
        <v>1135216.9725000001</v>
      </c>
      <c r="W83" s="1" t="str">
        <f t="shared" si="5"/>
        <v>No</v>
      </c>
      <c r="X83" s="1"/>
      <c r="Y83" s="1"/>
      <c r="Z83" s="1"/>
      <c r="AA83" s="1"/>
    </row>
    <row r="84" spans="1:27" ht="14.4" x14ac:dyDescent="0.3">
      <c r="A84" s="1"/>
      <c r="B84" s="1"/>
      <c r="C84" s="1"/>
      <c r="D84" s="13">
        <v>15237</v>
      </c>
      <c r="E84" s="1" t="s">
        <v>88</v>
      </c>
      <c r="F84" s="14">
        <v>19254</v>
      </c>
      <c r="G84" s="14">
        <v>19023</v>
      </c>
      <c r="H84" s="14">
        <v>19813</v>
      </c>
      <c r="I84" s="14">
        <v>20139</v>
      </c>
      <c r="J84" s="14">
        <v>19377</v>
      </c>
      <c r="K84" s="14">
        <v>18561</v>
      </c>
      <c r="L84" s="14">
        <v>19179</v>
      </c>
      <c r="M84" s="14">
        <v>18469</v>
      </c>
      <c r="N84" s="14">
        <v>18812</v>
      </c>
      <c r="O84" s="14">
        <v>18990</v>
      </c>
      <c r="P84" s="14">
        <v>18709</v>
      </c>
      <c r="Q84" s="14">
        <v>18720</v>
      </c>
      <c r="R84" s="15">
        <v>0.01</v>
      </c>
      <c r="S84" s="11">
        <f t="shared" si="0"/>
        <v>1513622.6300000001</v>
      </c>
      <c r="T84" s="1" t="str">
        <f t="shared" si="1"/>
        <v>NO</v>
      </c>
      <c r="U84" s="15">
        <v>0.75</v>
      </c>
      <c r="V84" s="11">
        <f t="shared" si="4"/>
        <v>1135216.9725000001</v>
      </c>
      <c r="W84" s="1" t="str">
        <f t="shared" si="5"/>
        <v>No</v>
      </c>
      <c r="X84" s="1"/>
      <c r="Y84" s="1"/>
      <c r="Z84" s="1"/>
      <c r="AA84" s="1"/>
    </row>
    <row r="85" spans="1:27" ht="14.4" x14ac:dyDescent="0.3">
      <c r="A85" s="1"/>
      <c r="B85" s="1"/>
      <c r="C85" s="1"/>
      <c r="D85" s="13">
        <v>15300</v>
      </c>
      <c r="E85" s="1" t="s">
        <v>89</v>
      </c>
      <c r="F85" s="14">
        <v>2822789</v>
      </c>
      <c r="G85" s="14">
        <v>3054428</v>
      </c>
      <c r="H85" s="14">
        <v>3581522</v>
      </c>
      <c r="I85" s="14">
        <v>3789961</v>
      </c>
      <c r="J85" s="14">
        <v>4159073</v>
      </c>
      <c r="K85" s="14">
        <v>4593553</v>
      </c>
      <c r="L85" s="14">
        <v>4840912</v>
      </c>
      <c r="M85" s="14">
        <v>5662654</v>
      </c>
      <c r="N85" s="14">
        <v>6296239</v>
      </c>
      <c r="O85" s="14">
        <v>6840622</v>
      </c>
      <c r="P85" s="14">
        <v>7074241</v>
      </c>
      <c r="Q85" s="14">
        <v>4688476</v>
      </c>
      <c r="R85" s="15">
        <v>0.01</v>
      </c>
      <c r="S85" s="11">
        <f t="shared" si="0"/>
        <v>1513622.6300000001</v>
      </c>
      <c r="T85" s="1" t="str">
        <f t="shared" si="1"/>
        <v>YES</v>
      </c>
      <c r="U85" s="15">
        <v>0.75</v>
      </c>
      <c r="V85" s="11">
        <f t="shared" si="4"/>
        <v>1135216.9725000001</v>
      </c>
      <c r="W85" s="1" t="str">
        <f t="shared" si="5"/>
        <v>Yes</v>
      </c>
      <c r="X85" s="1"/>
      <c r="Y85" s="1"/>
      <c r="Z85" s="1"/>
      <c r="AA85" s="1"/>
    </row>
    <row r="86" spans="1:27" ht="14.4" x14ac:dyDescent="0.3">
      <c r="A86" s="1"/>
      <c r="B86" s="1"/>
      <c r="C86" s="1"/>
      <c r="D86" s="13">
        <v>15400</v>
      </c>
      <c r="E86" s="1" t="s">
        <v>90</v>
      </c>
      <c r="F86" s="14">
        <v>250000</v>
      </c>
      <c r="G86" s="14">
        <v>250000</v>
      </c>
      <c r="H86" s="14">
        <v>250000</v>
      </c>
      <c r="I86" s="14">
        <v>250000</v>
      </c>
      <c r="J86" s="14">
        <v>250000</v>
      </c>
      <c r="K86" s="14">
        <v>250000</v>
      </c>
      <c r="L86" s="14">
        <v>250000</v>
      </c>
      <c r="M86" s="14">
        <v>250000</v>
      </c>
      <c r="N86" s="14">
        <v>250000</v>
      </c>
      <c r="O86" s="14">
        <v>250000</v>
      </c>
      <c r="P86" s="14">
        <v>250000</v>
      </c>
      <c r="Q86" s="1"/>
      <c r="R86" s="15">
        <v>0.01</v>
      </c>
      <c r="S86" s="11">
        <f t="shared" si="0"/>
        <v>1513622.6300000001</v>
      </c>
      <c r="T86" s="1" t="str">
        <f t="shared" si="1"/>
        <v>NO</v>
      </c>
      <c r="U86" s="15">
        <v>0.75</v>
      </c>
      <c r="V86" s="11">
        <f t="shared" si="4"/>
        <v>1135216.9725000001</v>
      </c>
      <c r="W86" s="1" t="str">
        <f t="shared" si="5"/>
        <v>No</v>
      </c>
      <c r="X86" s="1"/>
      <c r="Y86" s="1"/>
      <c r="Z86" s="1"/>
      <c r="AA86" s="1"/>
    </row>
    <row r="87" spans="1:27" ht="14.4" x14ac:dyDescent="0.3">
      <c r="A87" s="1"/>
      <c r="B87" s="1"/>
      <c r="C87" s="1"/>
      <c r="D87" s="13">
        <v>16010</v>
      </c>
      <c r="E87" s="1" t="s">
        <v>91</v>
      </c>
      <c r="F87" s="14">
        <v>57604058</v>
      </c>
      <c r="G87" s="14">
        <v>57604058</v>
      </c>
      <c r="H87" s="14">
        <v>57604058</v>
      </c>
      <c r="I87" s="14">
        <v>58549232</v>
      </c>
      <c r="J87" s="14">
        <v>58549232</v>
      </c>
      <c r="K87" s="14">
        <v>59753690</v>
      </c>
      <c r="L87" s="14">
        <v>59753690</v>
      </c>
      <c r="M87" s="14">
        <v>59753690</v>
      </c>
      <c r="N87" s="14">
        <v>62110288</v>
      </c>
      <c r="O87" s="14">
        <v>62110288</v>
      </c>
      <c r="P87" s="14">
        <v>62110288</v>
      </c>
      <c r="Q87" s="14">
        <v>157193459</v>
      </c>
      <c r="R87" s="15">
        <v>0.01</v>
      </c>
      <c r="S87" s="11">
        <f t="shared" si="0"/>
        <v>1513622.6300000001</v>
      </c>
      <c r="T87" s="1" t="str">
        <f t="shared" si="1"/>
        <v>YES</v>
      </c>
      <c r="U87" s="15">
        <v>0.75</v>
      </c>
      <c r="V87" s="11">
        <f t="shared" si="4"/>
        <v>1135216.9725000001</v>
      </c>
      <c r="W87" s="1" t="str">
        <f t="shared" si="5"/>
        <v>Yes</v>
      </c>
      <c r="X87" s="1"/>
      <c r="Y87" s="1"/>
      <c r="Z87" s="1"/>
      <c r="AA87" s="1"/>
    </row>
    <row r="88" spans="1:27" ht="14.4" x14ac:dyDescent="0.3">
      <c r="A88" s="1"/>
      <c r="B88" s="1"/>
      <c r="C88" s="1"/>
      <c r="D88" s="13">
        <v>16015</v>
      </c>
      <c r="E88" s="1" t="s">
        <v>92</v>
      </c>
      <c r="F88" s="14">
        <v>2900680</v>
      </c>
      <c r="G88" s="14">
        <v>2900680</v>
      </c>
      <c r="H88" s="14">
        <v>2900680</v>
      </c>
      <c r="I88" s="14">
        <v>2900680</v>
      </c>
      <c r="J88" s="14">
        <v>2900680</v>
      </c>
      <c r="K88" s="14">
        <v>2900680</v>
      </c>
      <c r="L88" s="14">
        <v>2900680</v>
      </c>
      <c r="M88" s="14">
        <v>2900680</v>
      </c>
      <c r="N88" s="14">
        <v>2900680</v>
      </c>
      <c r="O88" s="14">
        <v>2900680</v>
      </c>
      <c r="P88" s="14">
        <v>2900680</v>
      </c>
      <c r="Q88" s="14">
        <v>2680250</v>
      </c>
      <c r="R88" s="15">
        <v>0.01</v>
      </c>
      <c r="S88" s="11">
        <f t="shared" si="0"/>
        <v>1513622.6300000001</v>
      </c>
      <c r="T88" s="1" t="str">
        <f t="shared" si="1"/>
        <v>YES</v>
      </c>
      <c r="U88" s="15">
        <v>0.75</v>
      </c>
      <c r="V88" s="11">
        <f t="shared" si="4"/>
        <v>1135216.9725000001</v>
      </c>
      <c r="W88" s="1" t="str">
        <f t="shared" si="5"/>
        <v>Yes</v>
      </c>
      <c r="X88" s="1"/>
      <c r="Y88" s="1"/>
      <c r="Z88" s="1"/>
      <c r="AA88" s="1"/>
    </row>
    <row r="89" spans="1:27" ht="14.4" x14ac:dyDescent="0.3">
      <c r="A89" s="1"/>
      <c r="B89" s="1"/>
      <c r="C89" s="1"/>
      <c r="D89" s="13">
        <v>16020</v>
      </c>
      <c r="E89" s="1" t="s">
        <v>93</v>
      </c>
      <c r="F89" s="14">
        <v>1856118</v>
      </c>
      <c r="G89" s="14">
        <v>1866954</v>
      </c>
      <c r="H89" s="14">
        <v>3588229</v>
      </c>
      <c r="I89" s="14">
        <v>3614785</v>
      </c>
      <c r="J89" s="14">
        <v>3605290</v>
      </c>
      <c r="K89" s="14">
        <v>3598224</v>
      </c>
      <c r="L89" s="14">
        <v>3606671</v>
      </c>
      <c r="M89" s="14">
        <v>3598746</v>
      </c>
      <c r="N89" s="14">
        <v>8595426</v>
      </c>
      <c r="O89" s="14">
        <v>8597125</v>
      </c>
      <c r="P89" s="14">
        <v>8594268</v>
      </c>
      <c r="Q89" s="14">
        <v>12298726</v>
      </c>
      <c r="R89" s="15">
        <v>0.01</v>
      </c>
      <c r="S89" s="11">
        <f t="shared" si="0"/>
        <v>1513622.6300000001</v>
      </c>
      <c r="T89" s="1" t="str">
        <f t="shared" si="1"/>
        <v>YES</v>
      </c>
      <c r="U89" s="15">
        <v>0.75</v>
      </c>
      <c r="V89" s="11">
        <f t="shared" si="4"/>
        <v>1135216.9725000001</v>
      </c>
      <c r="W89" s="1" t="str">
        <f t="shared" si="5"/>
        <v>Yes</v>
      </c>
      <c r="X89" s="1"/>
      <c r="Y89" s="1"/>
      <c r="Z89" s="1"/>
      <c r="AA89" s="1"/>
    </row>
    <row r="90" spans="1:27" ht="14.4" x14ac:dyDescent="0.3">
      <c r="A90" s="1"/>
      <c r="B90" s="1"/>
      <c r="C90" s="1"/>
      <c r="D90" s="13">
        <v>16030</v>
      </c>
      <c r="E90" s="1" t="s">
        <v>94</v>
      </c>
      <c r="F90" s="14">
        <v>18698325</v>
      </c>
      <c r="G90" s="14">
        <v>18695114</v>
      </c>
      <c r="H90" s="14">
        <v>19394952</v>
      </c>
      <c r="I90" s="14">
        <v>19404434</v>
      </c>
      <c r="J90" s="14">
        <v>19644871</v>
      </c>
      <c r="K90" s="14">
        <v>19812371</v>
      </c>
      <c r="L90" s="14">
        <v>19816597</v>
      </c>
      <c r="M90" s="14">
        <v>19811676</v>
      </c>
      <c r="N90" s="14">
        <v>20019353</v>
      </c>
      <c r="O90" s="14">
        <v>20018380</v>
      </c>
      <c r="P90" s="14">
        <v>22730166</v>
      </c>
      <c r="Q90" s="14">
        <v>23577937</v>
      </c>
      <c r="R90" s="15">
        <v>0.01</v>
      </c>
      <c r="S90" s="11">
        <f t="shared" si="0"/>
        <v>1513622.6300000001</v>
      </c>
      <c r="T90" s="1" t="str">
        <f t="shared" si="1"/>
        <v>YES</v>
      </c>
      <c r="U90" s="15">
        <v>0.75</v>
      </c>
      <c r="V90" s="11">
        <f t="shared" si="4"/>
        <v>1135216.9725000001</v>
      </c>
      <c r="W90" s="1" t="str">
        <f t="shared" si="5"/>
        <v>Yes</v>
      </c>
      <c r="X90" s="1"/>
      <c r="Y90" s="1"/>
      <c r="Z90" s="1"/>
      <c r="AA90" s="1"/>
    </row>
    <row r="91" spans="1:27" ht="14.4" x14ac:dyDescent="0.3">
      <c r="A91" s="1"/>
      <c r="B91" s="1"/>
      <c r="C91" s="1"/>
      <c r="D91" s="13">
        <v>16035</v>
      </c>
      <c r="E91" s="1" t="s">
        <v>95</v>
      </c>
      <c r="F91" s="14">
        <v>26709940</v>
      </c>
      <c r="G91" s="14">
        <v>26709940</v>
      </c>
      <c r="H91" s="14">
        <v>26709940</v>
      </c>
      <c r="I91" s="14">
        <v>26709940</v>
      </c>
      <c r="J91" s="14">
        <v>26709940</v>
      </c>
      <c r="K91" s="14">
        <v>26709940</v>
      </c>
      <c r="L91" s="14">
        <v>26709940</v>
      </c>
      <c r="M91" s="14">
        <v>26709940</v>
      </c>
      <c r="N91" s="14">
        <v>26709940</v>
      </c>
      <c r="O91" s="14">
        <v>26709940</v>
      </c>
      <c r="P91" s="14">
        <v>26709940</v>
      </c>
      <c r="Q91" s="14">
        <v>74809940</v>
      </c>
      <c r="R91" s="15">
        <v>0.01</v>
      </c>
      <c r="S91" s="11">
        <f t="shared" si="0"/>
        <v>1513622.6300000001</v>
      </c>
      <c r="T91" s="1" t="str">
        <f t="shared" si="1"/>
        <v>YES</v>
      </c>
      <c r="U91" s="15">
        <v>0.75</v>
      </c>
      <c r="V91" s="11">
        <f t="shared" si="4"/>
        <v>1135216.9725000001</v>
      </c>
      <c r="W91" s="1" t="str">
        <f t="shared" si="5"/>
        <v>Yes</v>
      </c>
      <c r="X91" s="1"/>
      <c r="Y91" s="1"/>
      <c r="Z91" s="1"/>
      <c r="AA91" s="1"/>
    </row>
    <row r="92" spans="1:27" ht="14.4" x14ac:dyDescent="0.3">
      <c r="A92" s="1"/>
      <c r="B92" s="1"/>
      <c r="C92" s="1"/>
      <c r="D92" s="13">
        <v>16040</v>
      </c>
      <c r="E92" s="1" t="s">
        <v>96</v>
      </c>
      <c r="F92" s="14">
        <v>66223467</v>
      </c>
      <c r="G92" s="14">
        <v>66179203</v>
      </c>
      <c r="H92" s="14">
        <v>66250098</v>
      </c>
      <c r="I92" s="14">
        <v>66295197</v>
      </c>
      <c r="J92" s="14">
        <v>66210302</v>
      </c>
      <c r="K92" s="14">
        <v>66130341</v>
      </c>
      <c r="L92" s="14">
        <v>66264674</v>
      </c>
      <c r="M92" s="14">
        <v>66187988</v>
      </c>
      <c r="N92" s="14">
        <v>68899215</v>
      </c>
      <c r="O92" s="14">
        <v>68867457</v>
      </c>
      <c r="P92" s="14">
        <v>73817986</v>
      </c>
      <c r="Q92" s="14">
        <v>89738431</v>
      </c>
      <c r="R92" s="15">
        <v>0.01</v>
      </c>
      <c r="S92" s="11">
        <f t="shared" si="0"/>
        <v>1513622.6300000001</v>
      </c>
      <c r="T92" s="1" t="str">
        <f t="shared" si="1"/>
        <v>YES</v>
      </c>
      <c r="U92" s="15">
        <v>0.75</v>
      </c>
      <c r="V92" s="11">
        <f t="shared" si="4"/>
        <v>1135216.9725000001</v>
      </c>
      <c r="W92" s="1" t="str">
        <f t="shared" si="5"/>
        <v>Yes</v>
      </c>
      <c r="X92" s="1"/>
      <c r="Y92" s="1"/>
      <c r="Z92" s="1"/>
      <c r="AA92" s="1"/>
    </row>
    <row r="93" spans="1:27" ht="14.4" x14ac:dyDescent="0.3">
      <c r="A93" s="1"/>
      <c r="B93" s="1"/>
      <c r="C93" s="1"/>
      <c r="D93" s="13">
        <v>16050</v>
      </c>
      <c r="E93" s="1" t="s">
        <v>97</v>
      </c>
      <c r="F93" s="14">
        <v>254450503</v>
      </c>
      <c r="G93" s="14">
        <v>254932503</v>
      </c>
      <c r="H93" s="14">
        <v>256099886</v>
      </c>
      <c r="I93" s="14">
        <v>257641058</v>
      </c>
      <c r="J93" s="14">
        <v>258971629</v>
      </c>
      <c r="K93" s="14">
        <v>259695676</v>
      </c>
      <c r="L93" s="14">
        <v>266365669</v>
      </c>
      <c r="M93" s="14">
        <v>267775165</v>
      </c>
      <c r="N93" s="14">
        <v>279212948</v>
      </c>
      <c r="O93" s="14">
        <v>277786471</v>
      </c>
      <c r="P93" s="14">
        <v>297916693</v>
      </c>
      <c r="Q93" s="14">
        <v>430981609</v>
      </c>
      <c r="R93" s="15">
        <v>0.01</v>
      </c>
      <c r="S93" s="11">
        <f t="shared" si="0"/>
        <v>1513622.6300000001</v>
      </c>
      <c r="T93" s="1" t="str">
        <f t="shared" si="1"/>
        <v>YES</v>
      </c>
      <c r="U93" s="15">
        <v>0.75</v>
      </c>
      <c r="V93" s="11">
        <f t="shared" si="4"/>
        <v>1135216.9725000001</v>
      </c>
      <c r="W93" s="1" t="str">
        <f t="shared" si="5"/>
        <v>Yes</v>
      </c>
      <c r="X93" s="1"/>
      <c r="Y93" s="1"/>
      <c r="Z93" s="1"/>
      <c r="AA93" s="1"/>
    </row>
    <row r="94" spans="1:27" ht="14.4" x14ac:dyDescent="0.3">
      <c r="A94" s="1"/>
      <c r="B94" s="1"/>
      <c r="C94" s="1"/>
      <c r="D94" s="13">
        <v>16060</v>
      </c>
      <c r="E94" s="1" t="s">
        <v>98</v>
      </c>
      <c r="F94" s="14">
        <v>1033155</v>
      </c>
      <c r="G94" s="14">
        <v>1032989</v>
      </c>
      <c r="H94" s="14">
        <v>1033554</v>
      </c>
      <c r="I94" s="14">
        <v>1033787</v>
      </c>
      <c r="J94" s="14">
        <v>1033243</v>
      </c>
      <c r="K94" s="14">
        <v>1032659</v>
      </c>
      <c r="L94" s="14">
        <v>1033101</v>
      </c>
      <c r="M94" s="14">
        <v>1032593</v>
      </c>
      <c r="N94" s="14">
        <v>1032839</v>
      </c>
      <c r="O94" s="14">
        <v>1032966</v>
      </c>
      <c r="P94" s="14">
        <v>1032765</v>
      </c>
      <c r="Q94" s="14">
        <v>1133273</v>
      </c>
      <c r="R94" s="15">
        <v>0.01</v>
      </c>
      <c r="S94" s="11">
        <f t="shared" si="0"/>
        <v>1513622.6300000001</v>
      </c>
      <c r="T94" s="1" t="str">
        <f t="shared" si="1"/>
        <v>NO</v>
      </c>
      <c r="U94" s="15">
        <v>0.75</v>
      </c>
      <c r="V94" s="11">
        <f t="shared" si="4"/>
        <v>1135216.9725000001</v>
      </c>
      <c r="W94" s="1" t="str">
        <f t="shared" si="5"/>
        <v>No</v>
      </c>
      <c r="X94" s="1"/>
      <c r="Y94" s="1"/>
      <c r="Z94" s="1"/>
      <c r="AA94" s="1"/>
    </row>
    <row r="95" spans="1:27" ht="14.4" x14ac:dyDescent="0.3">
      <c r="A95" s="1"/>
      <c r="B95" s="1"/>
      <c r="C95" s="1"/>
      <c r="D95" s="13">
        <v>16070</v>
      </c>
      <c r="E95" s="1" t="s">
        <v>99</v>
      </c>
      <c r="F95" s="14">
        <v>1432033</v>
      </c>
      <c r="G95" s="14">
        <v>1429180</v>
      </c>
      <c r="H95" s="14">
        <v>1438927</v>
      </c>
      <c r="I95" s="14">
        <v>1442960</v>
      </c>
      <c r="J95" s="14">
        <v>1434385</v>
      </c>
      <c r="K95" s="14">
        <v>1427368</v>
      </c>
      <c r="L95" s="14">
        <v>1435705</v>
      </c>
      <c r="M95" s="14">
        <v>1426962</v>
      </c>
      <c r="N95" s="14">
        <v>1431196</v>
      </c>
      <c r="O95" s="14">
        <v>1430672</v>
      </c>
      <c r="P95" s="14">
        <v>1424194</v>
      </c>
      <c r="Q95" s="14">
        <v>1424317</v>
      </c>
      <c r="R95" s="15">
        <v>0.01</v>
      </c>
      <c r="S95" s="11">
        <f t="shared" si="0"/>
        <v>1513622.6300000001</v>
      </c>
      <c r="T95" s="1" t="str">
        <f t="shared" si="1"/>
        <v>NO</v>
      </c>
      <c r="U95" s="15">
        <v>0.75</v>
      </c>
      <c r="V95" s="11">
        <f t="shared" si="4"/>
        <v>1135216.9725000001</v>
      </c>
      <c r="W95" s="1" t="str">
        <f t="shared" si="5"/>
        <v>Yes</v>
      </c>
      <c r="X95" s="1"/>
      <c r="Y95" s="1"/>
      <c r="Z95" s="1"/>
      <c r="AA95" s="1"/>
    </row>
    <row r="96" spans="1:27" ht="14.4" x14ac:dyDescent="0.3">
      <c r="A96" s="1"/>
      <c r="B96" s="1"/>
      <c r="C96" s="1"/>
      <c r="D96" s="13">
        <v>16090</v>
      </c>
      <c r="E96" s="1" t="s">
        <v>100</v>
      </c>
      <c r="F96" s="14">
        <v>8865316</v>
      </c>
      <c r="G96" s="14">
        <v>8865316</v>
      </c>
      <c r="H96" s="14">
        <v>8865316</v>
      </c>
      <c r="I96" s="14">
        <v>8865316</v>
      </c>
      <c r="J96" s="14">
        <v>9484608</v>
      </c>
      <c r="K96" s="14">
        <v>9484608</v>
      </c>
      <c r="L96" s="14">
        <v>9484608</v>
      </c>
      <c r="M96" s="14">
        <v>9484608</v>
      </c>
      <c r="N96" s="14">
        <v>9484608</v>
      </c>
      <c r="O96" s="14">
        <v>9484608</v>
      </c>
      <c r="P96" s="14">
        <v>9484608</v>
      </c>
      <c r="Q96" s="14">
        <v>9484608</v>
      </c>
      <c r="R96" s="15">
        <v>0.01</v>
      </c>
      <c r="S96" s="11">
        <f t="shared" si="0"/>
        <v>1513622.6300000001</v>
      </c>
      <c r="T96" s="1" t="str">
        <f t="shared" si="1"/>
        <v>YES</v>
      </c>
      <c r="U96" s="15">
        <v>0.75</v>
      </c>
      <c r="V96" s="11">
        <f t="shared" si="4"/>
        <v>1135216.9725000001</v>
      </c>
      <c r="W96" s="1" t="str">
        <f t="shared" si="5"/>
        <v>Yes</v>
      </c>
      <c r="X96" s="1"/>
      <c r="Y96" s="1"/>
      <c r="Z96" s="1"/>
      <c r="AA96" s="1"/>
    </row>
    <row r="97" spans="1:27" ht="14.4" x14ac:dyDescent="0.3">
      <c r="A97" s="1"/>
      <c r="B97" s="1"/>
      <c r="C97" s="1"/>
      <c r="D97" s="13">
        <v>16100</v>
      </c>
      <c r="E97" s="1" t="s">
        <v>101</v>
      </c>
      <c r="F97" s="14">
        <v>82590246</v>
      </c>
      <c r="G97" s="14">
        <v>85875177</v>
      </c>
      <c r="H97" s="14">
        <v>92228162</v>
      </c>
      <c r="I97" s="14">
        <v>96467840</v>
      </c>
      <c r="J97" s="14">
        <v>99729743</v>
      </c>
      <c r="K97" s="14">
        <v>127180334</v>
      </c>
      <c r="L97" s="14">
        <v>134876586</v>
      </c>
      <c r="M97" s="14">
        <v>142340904</v>
      </c>
      <c r="N97" s="14">
        <v>133016980</v>
      </c>
      <c r="O97" s="14">
        <v>144009578</v>
      </c>
      <c r="P97" s="14">
        <v>123445872</v>
      </c>
      <c r="Q97" s="14">
        <v>112818718</v>
      </c>
      <c r="R97" s="15">
        <v>0.01</v>
      </c>
      <c r="S97" s="11">
        <f t="shared" si="0"/>
        <v>1513622.6300000001</v>
      </c>
      <c r="T97" s="1" t="str">
        <f t="shared" si="1"/>
        <v>YES</v>
      </c>
      <c r="U97" s="15">
        <v>0.75</v>
      </c>
      <c r="V97" s="11">
        <f t="shared" si="4"/>
        <v>1135216.9725000001</v>
      </c>
      <c r="W97" s="1" t="str">
        <f t="shared" si="5"/>
        <v>Yes</v>
      </c>
      <c r="X97" s="1"/>
      <c r="Y97" s="1"/>
      <c r="Z97" s="1"/>
      <c r="AA97" s="1"/>
    </row>
    <row r="98" spans="1:27" ht="14.4" x14ac:dyDescent="0.3">
      <c r="A98" s="1"/>
      <c r="B98" s="1"/>
      <c r="C98" s="1"/>
      <c r="D98" s="13">
        <v>16510</v>
      </c>
      <c r="E98" s="1" t="s">
        <v>102</v>
      </c>
      <c r="F98" s="14">
        <v>-9148256</v>
      </c>
      <c r="G98" s="14">
        <v>-9191273</v>
      </c>
      <c r="H98" s="14">
        <v>-9251633</v>
      </c>
      <c r="I98" s="14">
        <v>-9344418</v>
      </c>
      <c r="J98" s="14">
        <v>-9443124</v>
      </c>
      <c r="K98" s="14">
        <v>-9534466</v>
      </c>
      <c r="L98" s="14">
        <v>-9629143</v>
      </c>
      <c r="M98" s="14">
        <v>-9720670</v>
      </c>
      <c r="N98" s="14">
        <v>-9819951</v>
      </c>
      <c r="O98" s="14">
        <v>-9926090</v>
      </c>
      <c r="P98" s="14">
        <v>-10014790</v>
      </c>
      <c r="Q98" s="14">
        <v>-10763846</v>
      </c>
      <c r="R98" s="15">
        <v>0.01</v>
      </c>
      <c r="S98" s="11">
        <f t="shared" si="0"/>
        <v>1513622.6300000001</v>
      </c>
      <c r="T98" s="1" t="str">
        <f t="shared" si="1"/>
        <v>YES</v>
      </c>
      <c r="U98" s="15">
        <v>0.75</v>
      </c>
      <c r="V98" s="11">
        <f t="shared" si="4"/>
        <v>1135216.9725000001</v>
      </c>
      <c r="W98" s="1" t="str">
        <f t="shared" si="5"/>
        <v>Yes</v>
      </c>
      <c r="X98" s="1"/>
      <c r="Y98" s="1"/>
      <c r="Z98" s="1"/>
      <c r="AA98" s="1"/>
    </row>
    <row r="99" spans="1:27" ht="14.4" x14ac:dyDescent="0.3">
      <c r="A99" s="1"/>
      <c r="B99" s="1"/>
      <c r="C99" s="1"/>
      <c r="D99" s="13">
        <v>16515</v>
      </c>
      <c r="E99" s="1" t="s">
        <v>103</v>
      </c>
      <c r="F99" s="14">
        <v>-723872</v>
      </c>
      <c r="G99" s="14">
        <v>-723872</v>
      </c>
      <c r="H99" s="14">
        <v>-723872</v>
      </c>
      <c r="I99" s="14">
        <v>-723872</v>
      </c>
      <c r="J99" s="14">
        <v>-723872</v>
      </c>
      <c r="K99" s="14">
        <v>-723872</v>
      </c>
      <c r="L99" s="14">
        <v>-723872</v>
      </c>
      <c r="M99" s="14">
        <v>-723872</v>
      </c>
      <c r="N99" s="14">
        <v>-723872</v>
      </c>
      <c r="O99" s="14">
        <v>-723872</v>
      </c>
      <c r="P99" s="14">
        <v>-723872</v>
      </c>
      <c r="Q99" s="14">
        <v>-797153</v>
      </c>
      <c r="R99" s="15">
        <v>0.01</v>
      </c>
      <c r="S99" s="11">
        <f t="shared" si="0"/>
        <v>1513622.6300000001</v>
      </c>
      <c r="T99" s="1" t="str">
        <f t="shared" si="1"/>
        <v>NO</v>
      </c>
      <c r="U99" s="15">
        <v>0.75</v>
      </c>
      <c r="V99" s="11">
        <f t="shared" si="4"/>
        <v>1135216.9725000001</v>
      </c>
      <c r="W99" s="1" t="str">
        <f t="shared" si="5"/>
        <v>No</v>
      </c>
      <c r="X99" s="1"/>
      <c r="Y99" s="1"/>
      <c r="Z99" s="1"/>
      <c r="AA99" s="1"/>
    </row>
    <row r="100" spans="1:27" ht="14.4" x14ac:dyDescent="0.3">
      <c r="A100" s="1"/>
      <c r="B100" s="1"/>
      <c r="C100" s="1"/>
      <c r="D100" s="13">
        <v>16530</v>
      </c>
      <c r="E100" s="1" t="s">
        <v>102</v>
      </c>
      <c r="F100" s="14">
        <v>-4689305</v>
      </c>
      <c r="G100" s="14">
        <v>-4808137</v>
      </c>
      <c r="H100" s="14">
        <v>-4942734</v>
      </c>
      <c r="I100" s="14">
        <v>-5063472</v>
      </c>
      <c r="J100" s="14">
        <v>-5179604</v>
      </c>
      <c r="K100" s="14">
        <v>-5295925</v>
      </c>
      <c r="L100" s="14">
        <v>-5413809</v>
      </c>
      <c r="M100" s="14">
        <v>-5530055</v>
      </c>
      <c r="N100" s="14">
        <v>-5660214</v>
      </c>
      <c r="O100" s="14">
        <v>-5789685</v>
      </c>
      <c r="P100" s="14">
        <v>-5934383</v>
      </c>
      <c r="Q100" s="14">
        <v>-6040325</v>
      </c>
      <c r="R100" s="15">
        <v>0.01</v>
      </c>
      <c r="S100" s="11">
        <f t="shared" si="0"/>
        <v>1513622.6300000001</v>
      </c>
      <c r="T100" s="1" t="str">
        <f t="shared" si="1"/>
        <v>YES</v>
      </c>
      <c r="U100" s="15">
        <v>0.75</v>
      </c>
      <c r="V100" s="11">
        <f t="shared" si="4"/>
        <v>1135216.9725000001</v>
      </c>
      <c r="W100" s="1" t="str">
        <f t="shared" si="5"/>
        <v>Yes</v>
      </c>
      <c r="X100" s="1"/>
      <c r="Y100" s="1"/>
      <c r="Z100" s="1"/>
      <c r="AA100" s="1"/>
    </row>
    <row r="101" spans="1:27" ht="14.4" x14ac:dyDescent="0.3">
      <c r="A101" s="1"/>
      <c r="B101" s="1"/>
      <c r="C101" s="1"/>
      <c r="D101" s="13">
        <v>16535</v>
      </c>
      <c r="E101" s="1" t="s">
        <v>104</v>
      </c>
      <c r="F101" s="14">
        <v>-4172935</v>
      </c>
      <c r="G101" s="14">
        <v>-4261448</v>
      </c>
      <c r="H101" s="14">
        <v>-4344386</v>
      </c>
      <c r="I101" s="14">
        <v>-4433822</v>
      </c>
      <c r="J101" s="14">
        <v>-4531547</v>
      </c>
      <c r="K101" s="14">
        <v>-4611102</v>
      </c>
      <c r="L101" s="14">
        <v>-4689037</v>
      </c>
      <c r="M101" s="14">
        <v>-4787908</v>
      </c>
      <c r="N101" s="14">
        <v>-4873954</v>
      </c>
      <c r="O101" s="14">
        <v>-4967321</v>
      </c>
      <c r="P101" s="14">
        <v>-5040717</v>
      </c>
      <c r="Q101" s="14">
        <v>-5493078</v>
      </c>
      <c r="R101" s="15">
        <v>0.01</v>
      </c>
      <c r="S101" s="11">
        <f t="shared" si="0"/>
        <v>1513622.6300000001</v>
      </c>
      <c r="T101" s="1" t="str">
        <f t="shared" si="1"/>
        <v>YES</v>
      </c>
      <c r="U101" s="15">
        <v>0.75</v>
      </c>
      <c r="V101" s="11">
        <f t="shared" si="4"/>
        <v>1135216.9725000001</v>
      </c>
      <c r="W101" s="1" t="str">
        <f t="shared" si="5"/>
        <v>Yes</v>
      </c>
      <c r="X101" s="1"/>
      <c r="Y101" s="1"/>
      <c r="Z101" s="1"/>
      <c r="AA101" s="1"/>
    </row>
    <row r="102" spans="1:27" ht="14.4" x14ac:dyDescent="0.3">
      <c r="A102" s="1"/>
      <c r="B102" s="1"/>
      <c r="C102" s="1"/>
      <c r="D102" s="13">
        <v>16540</v>
      </c>
      <c r="E102" s="1" t="s">
        <v>102</v>
      </c>
      <c r="F102" s="14">
        <v>-11098845</v>
      </c>
      <c r="G102" s="14">
        <v>-11257732</v>
      </c>
      <c r="H102" s="14">
        <v>-11438811</v>
      </c>
      <c r="I102" s="14">
        <v>-11611142</v>
      </c>
      <c r="J102" s="14">
        <v>-11759361</v>
      </c>
      <c r="K102" s="14">
        <v>-11906288</v>
      </c>
      <c r="L102" s="14">
        <v>-12085350</v>
      </c>
      <c r="M102" s="14">
        <v>-12233278</v>
      </c>
      <c r="N102" s="14">
        <v>-12527491</v>
      </c>
      <c r="O102" s="14">
        <v>-12768134</v>
      </c>
      <c r="P102" s="14">
        <v>-13040709</v>
      </c>
      <c r="Q102" s="14">
        <v>-12985947</v>
      </c>
      <c r="R102" s="15">
        <v>0.01</v>
      </c>
      <c r="S102" s="11">
        <f t="shared" si="0"/>
        <v>1513622.6300000001</v>
      </c>
      <c r="T102" s="1" t="str">
        <f t="shared" si="1"/>
        <v>YES</v>
      </c>
      <c r="U102" s="15">
        <v>0.75</v>
      </c>
      <c r="V102" s="11">
        <f t="shared" si="4"/>
        <v>1135216.9725000001</v>
      </c>
      <c r="W102" s="1" t="str">
        <f t="shared" si="5"/>
        <v>Yes</v>
      </c>
      <c r="X102" s="1"/>
      <c r="Y102" s="1"/>
      <c r="Z102" s="1"/>
      <c r="AA102" s="1"/>
    </row>
    <row r="103" spans="1:27" ht="14.4" x14ac:dyDescent="0.3">
      <c r="A103" s="1"/>
      <c r="B103" s="1"/>
      <c r="C103" s="1"/>
      <c r="D103" s="13">
        <v>16550</v>
      </c>
      <c r="E103" s="1" t="s">
        <v>102</v>
      </c>
      <c r="F103" s="14">
        <v>-125543183</v>
      </c>
      <c r="G103" s="14">
        <v>-126768584</v>
      </c>
      <c r="H103" s="14">
        <v>-128086284</v>
      </c>
      <c r="I103" s="14">
        <v>-129943685</v>
      </c>
      <c r="J103" s="14">
        <v>-131474163</v>
      </c>
      <c r="K103" s="14">
        <v>-133174714</v>
      </c>
      <c r="L103" s="14">
        <v>-135088535</v>
      </c>
      <c r="M103" s="14">
        <v>-136454473</v>
      </c>
      <c r="N103" s="14">
        <v>-138366474</v>
      </c>
      <c r="O103" s="14">
        <v>-140052164</v>
      </c>
      <c r="P103" s="14">
        <v>-142382145</v>
      </c>
      <c r="Q103" s="14">
        <v>-142524966</v>
      </c>
      <c r="R103" s="15">
        <v>0.01</v>
      </c>
      <c r="S103" s="11">
        <f t="shared" si="0"/>
        <v>1513622.6300000001</v>
      </c>
      <c r="T103" s="1" t="str">
        <f t="shared" si="1"/>
        <v>YES</v>
      </c>
      <c r="U103" s="15">
        <v>0.75</v>
      </c>
      <c r="V103" s="11">
        <f t="shared" si="4"/>
        <v>1135216.9725000001</v>
      </c>
      <c r="W103" s="1" t="str">
        <f t="shared" si="5"/>
        <v>Yes</v>
      </c>
      <c r="X103" s="1"/>
      <c r="Y103" s="1"/>
      <c r="Z103" s="1"/>
      <c r="AA103" s="1"/>
    </row>
    <row r="104" spans="1:27" ht="14.4" x14ac:dyDescent="0.3">
      <c r="A104" s="1"/>
      <c r="B104" s="1"/>
      <c r="C104" s="1"/>
      <c r="D104" s="13">
        <v>16560</v>
      </c>
      <c r="E104" s="1" t="s">
        <v>102</v>
      </c>
      <c r="F104" s="14">
        <v>-802467</v>
      </c>
      <c r="G104" s="14">
        <v>-808857</v>
      </c>
      <c r="H104" s="14">
        <v>-815978</v>
      </c>
      <c r="I104" s="14">
        <v>-822766</v>
      </c>
      <c r="J104" s="14">
        <v>-828777</v>
      </c>
      <c r="K104" s="14">
        <v>-834749</v>
      </c>
      <c r="L104" s="14">
        <v>-841746</v>
      </c>
      <c r="M104" s="14">
        <v>-847794</v>
      </c>
      <c r="N104" s="14">
        <v>-858098</v>
      </c>
      <c r="O104" s="14">
        <v>-868283</v>
      </c>
      <c r="P104" s="14">
        <v>-878140</v>
      </c>
      <c r="Q104" s="14">
        <v>-874287</v>
      </c>
      <c r="R104" s="15">
        <v>0.01</v>
      </c>
      <c r="S104" s="11">
        <f t="shared" si="0"/>
        <v>1513622.6300000001</v>
      </c>
      <c r="T104" s="1" t="str">
        <f t="shared" si="1"/>
        <v>NO</v>
      </c>
      <c r="U104" s="15">
        <v>0.75</v>
      </c>
      <c r="V104" s="11">
        <f t="shared" si="4"/>
        <v>1135216.9725000001</v>
      </c>
      <c r="W104" s="1" t="str">
        <f t="shared" si="5"/>
        <v>No</v>
      </c>
      <c r="X104" s="1"/>
      <c r="Y104" s="1"/>
      <c r="Z104" s="1"/>
      <c r="AA104" s="1"/>
    </row>
    <row r="105" spans="1:27" ht="14.4" x14ac:dyDescent="0.3">
      <c r="A105" s="1"/>
      <c r="B105" s="1"/>
      <c r="C105" s="1"/>
      <c r="D105" s="13">
        <v>16570</v>
      </c>
      <c r="E105" s="1" t="s">
        <v>102</v>
      </c>
      <c r="F105" s="14">
        <v>-1162088</v>
      </c>
      <c r="G105" s="14">
        <v>-1172295</v>
      </c>
      <c r="H105" s="14">
        <v>-1186429</v>
      </c>
      <c r="I105" s="14">
        <v>-1196452</v>
      </c>
      <c r="J105" s="14">
        <v>-1196077</v>
      </c>
      <c r="K105" s="14">
        <v>-1194542</v>
      </c>
      <c r="L105" s="14">
        <v>-1206253</v>
      </c>
      <c r="M105" s="14">
        <v>-1205835</v>
      </c>
      <c r="N105" s="14">
        <v>-1216645</v>
      </c>
      <c r="O105" s="14">
        <v>-1224155</v>
      </c>
      <c r="P105" s="14">
        <v>-1224716</v>
      </c>
      <c r="Q105" s="14">
        <v>-1233907</v>
      </c>
      <c r="R105" s="15">
        <v>0.01</v>
      </c>
      <c r="S105" s="11">
        <f t="shared" si="0"/>
        <v>1513622.6300000001</v>
      </c>
      <c r="T105" s="1" t="str">
        <f t="shared" si="1"/>
        <v>NO</v>
      </c>
      <c r="U105" s="15">
        <v>0.75</v>
      </c>
      <c r="V105" s="11">
        <f t="shared" si="4"/>
        <v>1135216.9725000001</v>
      </c>
      <c r="W105" s="1" t="str">
        <f t="shared" si="5"/>
        <v>Yes</v>
      </c>
      <c r="X105" s="1"/>
      <c r="Y105" s="1"/>
      <c r="Z105" s="1"/>
      <c r="AA105" s="1"/>
    </row>
    <row r="106" spans="1:27" ht="14.4" x14ac:dyDescent="0.3">
      <c r="A106" s="1"/>
      <c r="B106" s="1"/>
      <c r="C106" s="1"/>
      <c r="D106" s="13">
        <v>16590</v>
      </c>
      <c r="E106" s="1" t="s">
        <v>102</v>
      </c>
      <c r="F106" s="14">
        <v>-2142530</v>
      </c>
      <c r="G106" s="14">
        <v>-2253450</v>
      </c>
      <c r="H106" s="14">
        <v>-2362820</v>
      </c>
      <c r="I106" s="14">
        <v>-2472190</v>
      </c>
      <c r="J106" s="14">
        <v>-2593171</v>
      </c>
      <c r="K106" s="14">
        <v>-2705122</v>
      </c>
      <c r="L106" s="14">
        <v>-2817072</v>
      </c>
      <c r="M106" s="14">
        <v>-2929022</v>
      </c>
      <c r="N106" s="14">
        <v>-3040972</v>
      </c>
      <c r="O106" s="14">
        <v>-3152922</v>
      </c>
      <c r="P106" s="14">
        <v>-3264873</v>
      </c>
      <c r="Q106" s="14">
        <v>-3376823</v>
      </c>
      <c r="R106" s="15">
        <v>0.01</v>
      </c>
      <c r="S106" s="11">
        <f t="shared" si="0"/>
        <v>1513622.6300000001</v>
      </c>
      <c r="T106" s="1" t="str">
        <f t="shared" si="1"/>
        <v>YES</v>
      </c>
      <c r="U106" s="15">
        <v>0.75</v>
      </c>
      <c r="V106" s="11">
        <f t="shared" si="4"/>
        <v>1135216.9725000001</v>
      </c>
      <c r="W106" s="1" t="str">
        <f t="shared" si="5"/>
        <v>Yes</v>
      </c>
      <c r="X106" s="1"/>
      <c r="Y106" s="1"/>
      <c r="Z106" s="1"/>
      <c r="AA106" s="1"/>
    </row>
    <row r="107" spans="1:27" ht="14.4" x14ac:dyDescent="0.3">
      <c r="A107" s="1"/>
      <c r="B107" s="1"/>
      <c r="C107" s="1"/>
      <c r="D107" s="13">
        <v>17120</v>
      </c>
      <c r="E107" s="1" t="s">
        <v>105</v>
      </c>
      <c r="F107" s="14">
        <v>79000</v>
      </c>
      <c r="G107" s="14">
        <v>79000</v>
      </c>
      <c r="H107" s="14">
        <v>79000</v>
      </c>
      <c r="I107" s="14">
        <v>79000</v>
      </c>
      <c r="J107" s="14">
        <v>79000</v>
      </c>
      <c r="K107" s="14">
        <v>79000</v>
      </c>
      <c r="L107" s="14">
        <v>79000</v>
      </c>
      <c r="M107" s="14">
        <v>79000</v>
      </c>
      <c r="N107" s="14">
        <v>79000</v>
      </c>
      <c r="O107" s="14">
        <v>79000</v>
      </c>
      <c r="P107" s="14">
        <v>79000</v>
      </c>
      <c r="Q107" s="14">
        <v>79000</v>
      </c>
      <c r="R107" s="15">
        <v>0.01</v>
      </c>
      <c r="S107" s="11">
        <f t="shared" si="0"/>
        <v>1513622.6300000001</v>
      </c>
      <c r="T107" s="1" t="str">
        <f t="shared" si="1"/>
        <v>NO</v>
      </c>
      <c r="U107" s="15">
        <v>0.75</v>
      </c>
      <c r="V107" s="11">
        <f t="shared" si="4"/>
        <v>1135216.9725000001</v>
      </c>
      <c r="W107" s="1" t="str">
        <f t="shared" si="5"/>
        <v>No</v>
      </c>
      <c r="X107" s="1"/>
      <c r="Y107" s="1"/>
      <c r="Z107" s="1"/>
      <c r="AA107" s="1"/>
    </row>
    <row r="108" spans="1:27" ht="14.4" x14ac:dyDescent="0.3">
      <c r="A108" s="1"/>
      <c r="B108" s="1"/>
      <c r="C108" s="1"/>
      <c r="D108" s="13">
        <v>19110</v>
      </c>
      <c r="E108" s="1" t="s">
        <v>106</v>
      </c>
      <c r="F108" s="14">
        <v>316284</v>
      </c>
      <c r="G108" s="14">
        <v>316284</v>
      </c>
      <c r="H108" s="14">
        <v>316284</v>
      </c>
      <c r="I108" s="14">
        <v>316284</v>
      </c>
      <c r="J108" s="14">
        <v>316284</v>
      </c>
      <c r="K108" s="14">
        <v>316284</v>
      </c>
      <c r="L108" s="14">
        <v>316284</v>
      </c>
      <c r="M108" s="14">
        <v>316284</v>
      </c>
      <c r="N108" s="14">
        <v>41070</v>
      </c>
      <c r="O108" s="14">
        <v>41070</v>
      </c>
      <c r="P108" s="14">
        <v>41070</v>
      </c>
      <c r="Q108" s="1"/>
      <c r="R108" s="15">
        <v>0.01</v>
      </c>
      <c r="S108" s="11">
        <f t="shared" si="0"/>
        <v>1513622.6300000001</v>
      </c>
      <c r="T108" s="1" t="str">
        <f t="shared" si="1"/>
        <v>NO</v>
      </c>
      <c r="U108" s="15">
        <v>0.75</v>
      </c>
      <c r="V108" s="11">
        <f t="shared" si="4"/>
        <v>1135216.9725000001</v>
      </c>
      <c r="W108" s="1" t="str">
        <f t="shared" si="5"/>
        <v>No</v>
      </c>
      <c r="X108" s="1"/>
      <c r="Y108" s="1"/>
      <c r="Z108" s="1"/>
      <c r="AA108" s="1"/>
    </row>
    <row r="109" spans="1:27" ht="14.4" x14ac:dyDescent="0.3">
      <c r="A109" s="1"/>
      <c r="B109" s="1"/>
      <c r="C109" s="1"/>
      <c r="D109" s="13">
        <v>19200</v>
      </c>
      <c r="E109" s="1" t="s">
        <v>107</v>
      </c>
      <c r="F109" s="1"/>
      <c r="G109" s="1"/>
      <c r="H109" s="14">
        <v>250000</v>
      </c>
      <c r="I109" s="14">
        <v>1592117</v>
      </c>
      <c r="J109" s="14">
        <v>1598884</v>
      </c>
      <c r="K109" s="14">
        <v>1580199</v>
      </c>
      <c r="L109" s="14">
        <v>1574504</v>
      </c>
      <c r="M109" s="14">
        <v>1567291</v>
      </c>
      <c r="N109" s="14">
        <v>1553051</v>
      </c>
      <c r="O109" s="14">
        <v>1540931</v>
      </c>
      <c r="P109" s="14">
        <v>4532274</v>
      </c>
      <c r="Q109" s="14">
        <v>4520273</v>
      </c>
      <c r="R109" s="15">
        <v>0.01</v>
      </c>
      <c r="S109" s="11">
        <f t="shared" si="0"/>
        <v>1513622.6300000001</v>
      </c>
      <c r="T109" s="1" t="str">
        <f t="shared" si="1"/>
        <v>YES</v>
      </c>
      <c r="U109" s="15">
        <v>0.75</v>
      </c>
      <c r="V109" s="11">
        <f t="shared" si="4"/>
        <v>1135216.9725000001</v>
      </c>
      <c r="W109" s="1" t="str">
        <f t="shared" si="5"/>
        <v>Yes</v>
      </c>
      <c r="X109" s="1"/>
      <c r="Y109" s="1"/>
      <c r="Z109" s="1"/>
      <c r="AA109" s="1"/>
    </row>
    <row r="110" spans="1:27" ht="14.4" x14ac:dyDescent="0.3">
      <c r="A110" s="1"/>
      <c r="B110" s="1"/>
      <c r="C110" s="1"/>
      <c r="D110" s="13">
        <v>19225</v>
      </c>
      <c r="E110" s="1" t="s">
        <v>107</v>
      </c>
      <c r="F110" s="14">
        <v>347948</v>
      </c>
      <c r="G110" s="14">
        <v>336406</v>
      </c>
      <c r="H110" s="14">
        <v>324802</v>
      </c>
      <c r="I110" s="14">
        <v>313198</v>
      </c>
      <c r="J110" s="14">
        <v>301405</v>
      </c>
      <c r="K110" s="14">
        <v>289611</v>
      </c>
      <c r="L110" s="14">
        <v>277753</v>
      </c>
      <c r="M110" s="14">
        <v>265831</v>
      </c>
      <c r="N110" s="14">
        <v>253845</v>
      </c>
      <c r="O110" s="14">
        <v>241793</v>
      </c>
      <c r="P110" s="14">
        <v>229676</v>
      </c>
      <c r="Q110" s="14">
        <v>217494</v>
      </c>
      <c r="R110" s="15">
        <v>0.01</v>
      </c>
      <c r="S110" s="11">
        <f t="shared" si="0"/>
        <v>1513622.6300000001</v>
      </c>
      <c r="T110" s="1" t="str">
        <f t="shared" si="1"/>
        <v>NO</v>
      </c>
      <c r="U110" s="15">
        <v>0.75</v>
      </c>
      <c r="V110" s="11">
        <f t="shared" si="4"/>
        <v>1135216.9725000001</v>
      </c>
      <c r="W110" s="1" t="str">
        <f t="shared" si="5"/>
        <v>No</v>
      </c>
      <c r="X110" s="1"/>
      <c r="Y110" s="1"/>
      <c r="Z110" s="1"/>
      <c r="AA110" s="1"/>
    </row>
    <row r="111" spans="1:27" ht="14.4" x14ac:dyDescent="0.3">
      <c r="A111" s="1"/>
      <c r="B111" s="1"/>
      <c r="C111" s="1"/>
      <c r="D111" s="13">
        <v>19244</v>
      </c>
      <c r="E111" s="1" t="s">
        <v>107</v>
      </c>
      <c r="F111" s="14">
        <v>-10000</v>
      </c>
      <c r="G111" s="14">
        <v>-10000</v>
      </c>
      <c r="H111" s="14">
        <v>-10000</v>
      </c>
      <c r="I111" s="14">
        <v>-10000</v>
      </c>
      <c r="J111" s="14">
        <v>-10000</v>
      </c>
      <c r="K111" s="14">
        <v>-10000</v>
      </c>
      <c r="L111" s="14">
        <v>-10000</v>
      </c>
      <c r="M111" s="14">
        <v>-10000</v>
      </c>
      <c r="N111" s="14">
        <v>-10000</v>
      </c>
      <c r="O111" s="14">
        <v>-10000</v>
      </c>
      <c r="P111" s="14">
        <v>-10000</v>
      </c>
      <c r="Q111" s="14">
        <v>-10000</v>
      </c>
      <c r="R111" s="15">
        <v>0.01</v>
      </c>
      <c r="S111" s="11">
        <f t="shared" si="0"/>
        <v>1513622.6300000001</v>
      </c>
      <c r="T111" s="1" t="str">
        <f t="shared" si="1"/>
        <v>NO</v>
      </c>
      <c r="U111" s="15">
        <v>0.75</v>
      </c>
      <c r="V111" s="11">
        <f t="shared" si="4"/>
        <v>1135216.9725000001</v>
      </c>
      <c r="W111" s="1" t="str">
        <f t="shared" si="5"/>
        <v>No</v>
      </c>
      <c r="X111" s="1"/>
      <c r="Y111" s="1"/>
      <c r="Z111" s="1"/>
      <c r="AA111" s="1"/>
    </row>
    <row r="112" spans="1:27" ht="14.4" x14ac:dyDescent="0.3">
      <c r="A112" s="1"/>
      <c r="B112" s="1"/>
      <c r="C112" s="1"/>
      <c r="D112" s="13">
        <v>19293</v>
      </c>
      <c r="E112" s="1" t="s">
        <v>107</v>
      </c>
      <c r="F112" s="14">
        <v>1335724</v>
      </c>
      <c r="G112" s="14">
        <v>1316801</v>
      </c>
      <c r="H112" s="14">
        <v>1292907</v>
      </c>
      <c r="I112" s="14">
        <v>1274622</v>
      </c>
      <c r="J112" s="14">
        <v>1250446</v>
      </c>
      <c r="K112" s="14">
        <v>1229667</v>
      </c>
      <c r="L112" s="14">
        <v>1205993</v>
      </c>
      <c r="M112" s="14">
        <v>1179453</v>
      </c>
      <c r="N112" s="14">
        <v>1159567</v>
      </c>
      <c r="O112" s="14">
        <v>1134056</v>
      </c>
      <c r="P112" s="14">
        <v>1114737</v>
      </c>
      <c r="Q112" s="14">
        <v>1086325</v>
      </c>
      <c r="R112" s="15">
        <v>0.01</v>
      </c>
      <c r="S112" s="11">
        <f t="shared" si="0"/>
        <v>1513622.6300000001</v>
      </c>
      <c r="T112" s="1" t="str">
        <f t="shared" si="1"/>
        <v>NO</v>
      </c>
      <c r="U112" s="15">
        <v>0.75</v>
      </c>
      <c r="V112" s="11">
        <f t="shared" si="4"/>
        <v>1135216.9725000001</v>
      </c>
      <c r="W112" s="1" t="str">
        <f t="shared" si="5"/>
        <v>No</v>
      </c>
      <c r="X112" s="1"/>
      <c r="Y112" s="1"/>
      <c r="Z112" s="1"/>
      <c r="AA112" s="1"/>
    </row>
    <row r="113" spans="1:27" ht="14.4" x14ac:dyDescent="0.3">
      <c r="A113" s="1"/>
      <c r="B113" s="1"/>
      <c r="C113" s="1"/>
      <c r="D113" s="13">
        <v>19300</v>
      </c>
      <c r="E113" s="1" t="s">
        <v>108</v>
      </c>
      <c r="F113" s="1"/>
      <c r="G113" s="1"/>
      <c r="H113" s="1"/>
      <c r="I113" s="14">
        <v>55722103</v>
      </c>
      <c r="J113" s="1"/>
      <c r="K113" s="1"/>
      <c r="L113" s="1"/>
      <c r="M113" s="1"/>
      <c r="N113" s="1"/>
      <c r="O113" s="1"/>
      <c r="P113" s="1"/>
      <c r="Q113" s="14">
        <v>2706136</v>
      </c>
      <c r="R113" s="15">
        <v>0.01</v>
      </c>
      <c r="S113" s="11">
        <f t="shared" si="0"/>
        <v>1513622.6300000001</v>
      </c>
      <c r="T113" s="1" t="str">
        <f t="shared" si="1"/>
        <v>YES</v>
      </c>
      <c r="U113" s="15">
        <v>0.75</v>
      </c>
      <c r="V113" s="11">
        <f t="shared" si="4"/>
        <v>1135216.9725000001</v>
      </c>
      <c r="W113" s="1" t="str">
        <f t="shared" si="5"/>
        <v>Yes</v>
      </c>
      <c r="X113" s="1"/>
      <c r="Y113" s="1"/>
      <c r="Z113" s="1"/>
      <c r="AA113" s="1"/>
    </row>
    <row r="114" spans="1:27" ht="14.4" x14ac:dyDescent="0.3">
      <c r="A114" s="1"/>
      <c r="B114" s="1"/>
      <c r="C114" s="1"/>
      <c r="D114" s="13">
        <v>19310</v>
      </c>
      <c r="E114" s="1" t="s">
        <v>89</v>
      </c>
      <c r="F114" s="14">
        <v>11615328</v>
      </c>
      <c r="G114" s="14">
        <v>11615328</v>
      </c>
      <c r="H114" s="14">
        <v>11615328</v>
      </c>
      <c r="I114" s="14">
        <v>11615328</v>
      </c>
      <c r="J114" s="14">
        <v>11615328</v>
      </c>
      <c r="K114" s="14">
        <v>11615328</v>
      </c>
      <c r="L114" s="14">
        <v>11615328</v>
      </c>
      <c r="M114" s="14">
        <v>11615328</v>
      </c>
      <c r="N114" s="14">
        <v>11615328</v>
      </c>
      <c r="O114" s="14">
        <v>11615328</v>
      </c>
      <c r="P114" s="14">
        <v>11615328</v>
      </c>
      <c r="Q114" s="14">
        <v>15287530</v>
      </c>
      <c r="R114" s="15">
        <v>0.01</v>
      </c>
      <c r="S114" s="11">
        <f t="shared" si="0"/>
        <v>1513622.6300000001</v>
      </c>
      <c r="T114" s="1" t="str">
        <f t="shared" si="1"/>
        <v>YES</v>
      </c>
      <c r="U114" s="15">
        <v>0.75</v>
      </c>
      <c r="V114" s="11">
        <f t="shared" si="4"/>
        <v>1135216.9725000001</v>
      </c>
      <c r="W114" s="1" t="str">
        <f t="shared" si="5"/>
        <v>Yes</v>
      </c>
      <c r="X114" s="1"/>
      <c r="Y114" s="1"/>
      <c r="Z114" s="1"/>
      <c r="AA114" s="1"/>
    </row>
    <row r="115" spans="1:27" ht="14.4" x14ac:dyDescent="0.3">
      <c r="A115" s="1"/>
      <c r="B115" s="1"/>
      <c r="C115" s="1"/>
      <c r="D115" s="13">
        <v>19400</v>
      </c>
      <c r="E115" s="1" t="s">
        <v>109</v>
      </c>
      <c r="F115" s="13">
        <v>53</v>
      </c>
      <c r="G115" s="13">
        <v>2</v>
      </c>
      <c r="H115" s="13">
        <v>302</v>
      </c>
      <c r="I115" s="13">
        <v>438</v>
      </c>
      <c r="J115" s="13">
        <v>119</v>
      </c>
      <c r="K115" s="13">
        <v>-222</v>
      </c>
      <c r="L115" s="13">
        <v>36</v>
      </c>
      <c r="M115" s="14">
        <v>-7271</v>
      </c>
      <c r="N115" s="14">
        <v>-7127</v>
      </c>
      <c r="O115" s="14">
        <v>-7053</v>
      </c>
      <c r="P115" s="14">
        <v>-7177</v>
      </c>
      <c r="Q115" s="13">
        <v>-163</v>
      </c>
      <c r="R115" s="15">
        <v>0.01</v>
      </c>
      <c r="S115" s="11">
        <f t="shared" si="0"/>
        <v>1513622.6300000001</v>
      </c>
      <c r="T115" s="1" t="str">
        <f t="shared" si="1"/>
        <v>NO</v>
      </c>
      <c r="U115" s="15">
        <v>0.75</v>
      </c>
      <c r="V115" s="11">
        <f t="shared" si="4"/>
        <v>1135216.9725000001</v>
      </c>
      <c r="W115" s="1" t="str">
        <f t="shared" si="5"/>
        <v>No</v>
      </c>
      <c r="X115" s="1"/>
      <c r="Y115" s="1"/>
      <c r="Z115" s="1"/>
      <c r="AA115" s="1"/>
    </row>
    <row r="116" spans="1:27" ht="14.4" x14ac:dyDescent="0.3">
      <c r="A116" s="1"/>
      <c r="B116" s="1"/>
      <c r="C116" s="1"/>
      <c r="D116" s="13">
        <v>19510</v>
      </c>
      <c r="E116" s="1" t="s">
        <v>80</v>
      </c>
      <c r="F116" s="14">
        <v>37171641</v>
      </c>
      <c r="G116" s="14">
        <v>37171072</v>
      </c>
      <c r="H116" s="14">
        <v>37171318</v>
      </c>
      <c r="I116" s="14">
        <v>38040648</v>
      </c>
      <c r="J116" s="14">
        <v>38040136</v>
      </c>
      <c r="K116" s="14">
        <v>38039819</v>
      </c>
      <c r="L116" s="14">
        <v>38040234</v>
      </c>
      <c r="M116" s="14">
        <v>38039745</v>
      </c>
      <c r="N116" s="14">
        <v>54657748</v>
      </c>
      <c r="O116" s="14">
        <v>54729413</v>
      </c>
      <c r="P116" s="14">
        <v>54917729</v>
      </c>
      <c r="Q116" s="14">
        <v>31443324</v>
      </c>
      <c r="R116" s="15">
        <v>0.01</v>
      </c>
      <c r="S116" s="11">
        <f t="shared" si="0"/>
        <v>1513622.6300000001</v>
      </c>
      <c r="T116" s="1" t="str">
        <f t="shared" si="1"/>
        <v>YES</v>
      </c>
      <c r="U116" s="15">
        <v>0.75</v>
      </c>
      <c r="V116" s="11">
        <f t="shared" si="4"/>
        <v>1135216.9725000001</v>
      </c>
      <c r="W116" s="1" t="str">
        <f t="shared" si="5"/>
        <v>Yes</v>
      </c>
      <c r="X116" s="1"/>
      <c r="Y116" s="1"/>
      <c r="Z116" s="1"/>
      <c r="AA116" s="1"/>
    </row>
    <row r="117" spans="1:27" ht="14.4" x14ac:dyDescent="0.3">
      <c r="A117" s="1"/>
      <c r="B117" s="1"/>
      <c r="C117" s="1"/>
      <c r="D117" s="13">
        <v>19515</v>
      </c>
      <c r="E117" s="1" t="s">
        <v>110</v>
      </c>
      <c r="F117" s="14">
        <v>-16434928</v>
      </c>
      <c r="G117" s="14">
        <v>-16764902</v>
      </c>
      <c r="H117" s="14">
        <v>-17095692</v>
      </c>
      <c r="I117" s="14">
        <v>-17426400</v>
      </c>
      <c r="J117" s="14">
        <v>-17756432</v>
      </c>
      <c r="K117" s="14">
        <v>-19441567</v>
      </c>
      <c r="L117" s="14">
        <v>-20005437</v>
      </c>
      <c r="M117" s="14">
        <v>-20568402</v>
      </c>
      <c r="N117" s="14">
        <v>-21132348</v>
      </c>
      <c r="O117" s="14">
        <v>-21695535</v>
      </c>
      <c r="P117" s="14">
        <v>-22258682</v>
      </c>
      <c r="Q117" s="14">
        <v>-12475008</v>
      </c>
      <c r="R117" s="15">
        <v>0.01</v>
      </c>
      <c r="S117" s="11">
        <f t="shared" si="0"/>
        <v>1513622.6300000001</v>
      </c>
      <c r="T117" s="1" t="str">
        <f t="shared" si="1"/>
        <v>YES</v>
      </c>
      <c r="U117" s="15">
        <v>0.75</v>
      </c>
      <c r="V117" s="11">
        <f t="shared" si="4"/>
        <v>1135216.9725000001</v>
      </c>
      <c r="W117" s="1" t="str">
        <f t="shared" si="5"/>
        <v>Yes</v>
      </c>
      <c r="X117" s="1"/>
      <c r="Y117" s="1"/>
      <c r="Z117" s="1"/>
      <c r="AA117" s="1"/>
    </row>
    <row r="118" spans="1:27" ht="14.4" x14ac:dyDescent="0.3">
      <c r="A118" s="1"/>
      <c r="B118" s="1"/>
      <c r="C118" s="1"/>
      <c r="D118" s="13">
        <v>19520</v>
      </c>
      <c r="E118" s="1" t="s">
        <v>111</v>
      </c>
      <c r="F118" s="14">
        <v>807995</v>
      </c>
      <c r="G118" s="14">
        <v>807995</v>
      </c>
      <c r="H118" s="14">
        <v>807995</v>
      </c>
      <c r="I118" s="14">
        <v>807995</v>
      </c>
      <c r="J118" s="14">
        <v>807995</v>
      </c>
      <c r="K118" s="14">
        <v>807995</v>
      </c>
      <c r="L118" s="14">
        <v>807995</v>
      </c>
      <c r="M118" s="14">
        <v>807995</v>
      </c>
      <c r="N118" s="14">
        <v>807995</v>
      </c>
      <c r="O118" s="14">
        <v>807995</v>
      </c>
      <c r="P118" s="14">
        <v>807995</v>
      </c>
      <c r="Q118" s="14">
        <v>807995</v>
      </c>
      <c r="R118" s="15">
        <v>0.01</v>
      </c>
      <c r="S118" s="11">
        <f t="shared" si="0"/>
        <v>1513622.6300000001</v>
      </c>
      <c r="T118" s="1" t="str">
        <f t="shared" si="1"/>
        <v>NO</v>
      </c>
      <c r="U118" s="15">
        <v>0.75</v>
      </c>
      <c r="V118" s="11">
        <f t="shared" si="4"/>
        <v>1135216.9725000001</v>
      </c>
      <c r="W118" s="1" t="str">
        <f t="shared" si="5"/>
        <v>No</v>
      </c>
      <c r="X118" s="1"/>
      <c r="Y118" s="1"/>
      <c r="Z118" s="1"/>
      <c r="AA118" s="1"/>
    </row>
    <row r="119" spans="1:27" ht="14.4" x14ac:dyDescent="0.3">
      <c r="A119" s="1"/>
      <c r="B119" s="1"/>
      <c r="C119" s="1"/>
      <c r="D119" s="13">
        <v>19525</v>
      </c>
      <c r="E119" s="1" t="s">
        <v>110</v>
      </c>
      <c r="F119" s="14">
        <v>-435691</v>
      </c>
      <c r="G119" s="14">
        <v>-446351</v>
      </c>
      <c r="H119" s="14">
        <v>-457012</v>
      </c>
      <c r="I119" s="14">
        <v>-467672</v>
      </c>
      <c r="J119" s="14">
        <v>-478333</v>
      </c>
      <c r="K119" s="14">
        <v>-488993</v>
      </c>
      <c r="L119" s="14">
        <v>-499653</v>
      </c>
      <c r="M119" s="14">
        <v>-510314</v>
      </c>
      <c r="N119" s="14">
        <v>-520974</v>
      </c>
      <c r="O119" s="14">
        <v>-531635</v>
      </c>
      <c r="P119" s="14">
        <v>-542295</v>
      </c>
      <c r="Q119" s="14">
        <v>-552955</v>
      </c>
      <c r="R119" s="15">
        <v>0.01</v>
      </c>
      <c r="S119" s="11">
        <f t="shared" si="0"/>
        <v>1513622.6300000001</v>
      </c>
      <c r="T119" s="1" t="str">
        <f t="shared" si="1"/>
        <v>NO</v>
      </c>
      <c r="U119" s="15">
        <v>0.75</v>
      </c>
      <c r="V119" s="11">
        <f t="shared" si="4"/>
        <v>1135216.9725000001</v>
      </c>
      <c r="W119" s="1" t="str">
        <f t="shared" si="5"/>
        <v>No</v>
      </c>
      <c r="X119" s="1"/>
      <c r="Y119" s="1"/>
      <c r="Z119" s="1"/>
      <c r="AA119" s="1"/>
    </row>
    <row r="120" spans="1:27" ht="14.4" x14ac:dyDescent="0.3">
      <c r="A120" s="1"/>
      <c r="B120" s="1"/>
      <c r="C120" s="1"/>
      <c r="D120" s="13">
        <v>19530</v>
      </c>
      <c r="E120" s="1" t="s">
        <v>112</v>
      </c>
      <c r="F120" s="14">
        <v>253000</v>
      </c>
      <c r="G120" s="14">
        <v>253000</v>
      </c>
      <c r="H120" s="14">
        <v>253000</v>
      </c>
      <c r="I120" s="14">
        <v>253000</v>
      </c>
      <c r="J120" s="14">
        <v>253000</v>
      </c>
      <c r="K120" s="14">
        <v>253000</v>
      </c>
      <c r="L120" s="14">
        <v>253000</v>
      </c>
      <c r="M120" s="14">
        <v>253000</v>
      </c>
      <c r="N120" s="14">
        <v>253000</v>
      </c>
      <c r="O120" s="14">
        <v>253000</v>
      </c>
      <c r="P120" s="14">
        <v>253000</v>
      </c>
      <c r="Q120" s="14">
        <v>253000</v>
      </c>
      <c r="R120" s="15">
        <v>0.01</v>
      </c>
      <c r="S120" s="11">
        <f t="shared" si="0"/>
        <v>1513622.6300000001</v>
      </c>
      <c r="T120" s="1" t="str">
        <f t="shared" si="1"/>
        <v>NO</v>
      </c>
      <c r="U120" s="15">
        <v>0.75</v>
      </c>
      <c r="V120" s="11">
        <f t="shared" si="4"/>
        <v>1135216.9725000001</v>
      </c>
      <c r="W120" s="1" t="str">
        <f t="shared" si="5"/>
        <v>No</v>
      </c>
      <c r="X120" s="1"/>
      <c r="Y120" s="1"/>
      <c r="Z120" s="1"/>
      <c r="AA120" s="1"/>
    </row>
    <row r="121" spans="1:27" ht="14.4" x14ac:dyDescent="0.3">
      <c r="A121" s="1"/>
      <c r="B121" s="1"/>
      <c r="C121" s="1"/>
      <c r="D121" s="13">
        <v>19535</v>
      </c>
      <c r="E121" s="1" t="s">
        <v>110</v>
      </c>
      <c r="F121" s="14">
        <v>-253000</v>
      </c>
      <c r="G121" s="14">
        <v>-253000</v>
      </c>
      <c r="H121" s="14">
        <v>-253000</v>
      </c>
      <c r="I121" s="14">
        <v>-253000</v>
      </c>
      <c r="J121" s="14">
        <v>-253000</v>
      </c>
      <c r="K121" s="14">
        <v>-253000</v>
      </c>
      <c r="L121" s="14">
        <v>-253000</v>
      </c>
      <c r="M121" s="14">
        <v>-253000</v>
      </c>
      <c r="N121" s="14">
        <v>-253000</v>
      </c>
      <c r="O121" s="14">
        <v>-253000</v>
      </c>
      <c r="P121" s="14">
        <v>-253000</v>
      </c>
      <c r="Q121" s="14">
        <v>-253000</v>
      </c>
      <c r="R121" s="15">
        <v>0.01</v>
      </c>
      <c r="S121" s="11">
        <f t="shared" si="0"/>
        <v>1513622.6300000001</v>
      </c>
      <c r="T121" s="1" t="str">
        <f t="shared" si="1"/>
        <v>NO</v>
      </c>
      <c r="U121" s="15">
        <v>0.75</v>
      </c>
      <c r="V121" s="11">
        <f t="shared" si="4"/>
        <v>1135216.9725000001</v>
      </c>
      <c r="W121" s="1" t="str">
        <f t="shared" si="5"/>
        <v>No</v>
      </c>
      <c r="X121" s="1"/>
      <c r="Y121" s="1"/>
      <c r="Z121" s="1"/>
      <c r="AA121" s="1"/>
    </row>
    <row r="122" spans="1:27" ht="14.4" x14ac:dyDescent="0.3">
      <c r="A122" s="1"/>
      <c r="B122" s="1"/>
      <c r="C122" s="1"/>
      <c r="D122" s="13">
        <v>19540</v>
      </c>
      <c r="E122" s="1" t="s">
        <v>113</v>
      </c>
      <c r="F122" s="14">
        <v>41089341</v>
      </c>
      <c r="G122" s="14">
        <v>41037535</v>
      </c>
      <c r="H122" s="14">
        <v>41064652</v>
      </c>
      <c r="I122" s="14">
        <v>41108980</v>
      </c>
      <c r="J122" s="14">
        <v>41050952</v>
      </c>
      <c r="K122" s="14">
        <v>83607082</v>
      </c>
      <c r="L122" s="14">
        <v>83664744</v>
      </c>
      <c r="M122" s="14">
        <v>83615968</v>
      </c>
      <c r="N122" s="14">
        <v>83297565</v>
      </c>
      <c r="O122" s="14">
        <v>82258222</v>
      </c>
      <c r="P122" s="14">
        <v>82242048</v>
      </c>
      <c r="Q122" s="14">
        <v>89095424</v>
      </c>
      <c r="R122" s="15">
        <v>0.01</v>
      </c>
      <c r="S122" s="11">
        <f t="shared" si="0"/>
        <v>1513622.6300000001</v>
      </c>
      <c r="T122" s="1" t="str">
        <f t="shared" si="1"/>
        <v>YES</v>
      </c>
      <c r="U122" s="15">
        <v>0.75</v>
      </c>
      <c r="V122" s="11">
        <f t="shared" si="4"/>
        <v>1135216.9725000001</v>
      </c>
      <c r="W122" s="1" t="str">
        <f t="shared" si="5"/>
        <v>Yes</v>
      </c>
      <c r="X122" s="1"/>
      <c r="Y122" s="1"/>
      <c r="Z122" s="1"/>
      <c r="AA122" s="1"/>
    </row>
    <row r="123" spans="1:27" ht="14.4" x14ac:dyDescent="0.3">
      <c r="A123" s="1"/>
      <c r="B123" s="1"/>
      <c r="C123" s="1"/>
      <c r="D123" s="13">
        <v>19545</v>
      </c>
      <c r="E123" s="1" t="s">
        <v>110</v>
      </c>
      <c r="F123" s="14">
        <v>-5896252</v>
      </c>
      <c r="G123" s="14">
        <v>-5896252</v>
      </c>
      <c r="H123" s="14">
        <v>-5896252</v>
      </c>
      <c r="I123" s="14">
        <v>-5896252</v>
      </c>
      <c r="J123" s="14">
        <v>-5896252</v>
      </c>
      <c r="K123" s="14">
        <v>-5896252</v>
      </c>
      <c r="L123" s="14">
        <v>-5896252</v>
      </c>
      <c r="M123" s="14">
        <v>-5896252</v>
      </c>
      <c r="N123" s="14">
        <v>-5896252</v>
      </c>
      <c r="O123" s="14">
        <v>-5896252</v>
      </c>
      <c r="P123" s="14">
        <v>-5896252</v>
      </c>
      <c r="Q123" s="14">
        <v>-5896252</v>
      </c>
      <c r="R123" s="15">
        <v>0.01</v>
      </c>
      <c r="S123" s="11">
        <f t="shared" si="0"/>
        <v>1513622.6300000001</v>
      </c>
      <c r="T123" s="1" t="str">
        <f t="shared" si="1"/>
        <v>YES</v>
      </c>
      <c r="U123" s="15">
        <v>0.75</v>
      </c>
      <c r="V123" s="11">
        <f t="shared" si="4"/>
        <v>1135216.9725000001</v>
      </c>
      <c r="W123" s="1" t="str">
        <f t="shared" si="5"/>
        <v>Yes</v>
      </c>
      <c r="X123" s="1"/>
      <c r="Y123" s="1"/>
      <c r="Z123" s="1"/>
      <c r="AA123" s="1"/>
    </row>
    <row r="124" spans="1:27" ht="14.4" x14ac:dyDescent="0.3">
      <c r="A124" s="1"/>
      <c r="B124" s="1"/>
      <c r="C124" s="1"/>
      <c r="D124" s="13">
        <v>19550</v>
      </c>
      <c r="E124" s="1" t="s">
        <v>114</v>
      </c>
      <c r="F124" s="1"/>
      <c r="G124" s="1"/>
      <c r="H124" s="1"/>
      <c r="I124" s="1"/>
      <c r="J124" s="14">
        <v>56294886</v>
      </c>
      <c r="K124" s="14">
        <v>56341332</v>
      </c>
      <c r="L124" s="14">
        <v>56341332</v>
      </c>
      <c r="M124" s="14">
        <v>56341332</v>
      </c>
      <c r="N124" s="14">
        <v>56370262</v>
      </c>
      <c r="O124" s="14">
        <v>56370262</v>
      </c>
      <c r="P124" s="14">
        <v>56370262</v>
      </c>
      <c r="Q124" s="14">
        <v>56320416</v>
      </c>
      <c r="R124" s="15">
        <v>0.01</v>
      </c>
      <c r="S124" s="11">
        <f t="shared" si="0"/>
        <v>1513622.6300000001</v>
      </c>
      <c r="T124" s="1" t="str">
        <f t="shared" si="1"/>
        <v>YES</v>
      </c>
      <c r="U124" s="15">
        <v>0.75</v>
      </c>
      <c r="V124" s="11">
        <f t="shared" si="4"/>
        <v>1135216.9725000001</v>
      </c>
      <c r="W124" s="1" t="str">
        <f t="shared" si="5"/>
        <v>Yes</v>
      </c>
      <c r="X124" s="1"/>
      <c r="Y124" s="1"/>
      <c r="Z124" s="1"/>
      <c r="AA124" s="1"/>
    </row>
    <row r="125" spans="1:27" ht="14.4" x14ac:dyDescent="0.3">
      <c r="A125" s="1"/>
      <c r="B125" s="1"/>
      <c r="C125" s="1"/>
      <c r="D125" s="13">
        <v>19555</v>
      </c>
      <c r="E125" s="1" t="s">
        <v>115</v>
      </c>
      <c r="F125" s="1"/>
      <c r="G125" s="1"/>
      <c r="H125" s="1"/>
      <c r="I125" s="1"/>
      <c r="J125" s="14">
        <v>-312749</v>
      </c>
      <c r="K125" s="14">
        <v>-625757</v>
      </c>
      <c r="L125" s="14">
        <v>-625757</v>
      </c>
      <c r="M125" s="14">
        <v>-625757</v>
      </c>
      <c r="N125" s="14">
        <v>-625757</v>
      </c>
      <c r="O125" s="14">
        <v>-625757</v>
      </c>
      <c r="P125" s="14">
        <v>-625757</v>
      </c>
      <c r="Q125" s="1"/>
      <c r="R125" s="15">
        <v>0.01</v>
      </c>
      <c r="S125" s="11">
        <f t="shared" si="0"/>
        <v>1513622.6300000001</v>
      </c>
      <c r="T125" s="1" t="str">
        <f t="shared" si="1"/>
        <v>NO</v>
      </c>
      <c r="U125" s="15">
        <v>0.75</v>
      </c>
      <c r="V125" s="11">
        <f t="shared" si="4"/>
        <v>1135216.9725000001</v>
      </c>
      <c r="W125" s="1" t="str">
        <f t="shared" si="5"/>
        <v>No</v>
      </c>
      <c r="X125" s="1"/>
      <c r="Y125" s="1"/>
      <c r="Z125" s="1"/>
      <c r="AA125" s="1"/>
    </row>
    <row r="126" spans="1:27" ht="14.4" x14ac:dyDescent="0.3">
      <c r="A126" s="1"/>
      <c r="B126" s="1"/>
      <c r="C126" s="1"/>
      <c r="D126" s="13">
        <v>19560</v>
      </c>
      <c r="E126" s="1" t="s">
        <v>116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4">
        <v>50700000</v>
      </c>
      <c r="R126" s="15">
        <v>0.01</v>
      </c>
      <c r="S126" s="11">
        <f t="shared" si="0"/>
        <v>1513622.6300000001</v>
      </c>
      <c r="T126" s="1" t="str">
        <f t="shared" si="1"/>
        <v>YES</v>
      </c>
      <c r="U126" s="15">
        <v>0.75</v>
      </c>
      <c r="V126" s="11">
        <f t="shared" si="4"/>
        <v>1135216.9725000001</v>
      </c>
      <c r="W126" s="1" t="str">
        <f t="shared" si="5"/>
        <v>Yes</v>
      </c>
      <c r="X126" s="1"/>
      <c r="Y126" s="1"/>
      <c r="Z126" s="1"/>
      <c r="AA126" s="1"/>
    </row>
    <row r="127" spans="1:27" ht="14.4" x14ac:dyDescent="0.3">
      <c r="A127" s="1"/>
      <c r="B127" s="1"/>
      <c r="C127" s="1"/>
      <c r="D127" s="13">
        <v>19565</v>
      </c>
      <c r="E127" s="1" t="s">
        <v>115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4">
        <v>-1690000</v>
      </c>
      <c r="R127" s="15">
        <v>0.01</v>
      </c>
      <c r="S127" s="11">
        <f t="shared" si="0"/>
        <v>1513622.6300000001</v>
      </c>
      <c r="T127" s="1" t="str">
        <f t="shared" si="1"/>
        <v>YES</v>
      </c>
      <c r="U127" s="15">
        <v>0.75</v>
      </c>
      <c r="V127" s="11">
        <f t="shared" si="4"/>
        <v>1135216.9725000001</v>
      </c>
      <c r="W127" s="1" t="str">
        <f t="shared" si="5"/>
        <v>Yes</v>
      </c>
      <c r="X127" s="1"/>
      <c r="Y127" s="1"/>
      <c r="Z127" s="1"/>
      <c r="AA127" s="1"/>
    </row>
    <row r="128" spans="1:27" ht="14.4" x14ac:dyDescent="0.3">
      <c r="A128" s="1"/>
      <c r="B128" s="1"/>
      <c r="C128" s="1"/>
      <c r="D128" s="13">
        <v>19570</v>
      </c>
      <c r="E128" s="1" t="s">
        <v>117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4">
        <v>70000</v>
      </c>
      <c r="R128" s="15">
        <v>0.01</v>
      </c>
      <c r="S128" s="11">
        <f t="shared" si="0"/>
        <v>1513622.6300000001</v>
      </c>
      <c r="T128" s="1" t="str">
        <f t="shared" si="1"/>
        <v>NO</v>
      </c>
      <c r="U128" s="15">
        <v>0.75</v>
      </c>
      <c r="V128" s="11">
        <f t="shared" si="4"/>
        <v>1135216.9725000001</v>
      </c>
      <c r="W128" s="1" t="str">
        <f t="shared" si="5"/>
        <v>No</v>
      </c>
      <c r="X128" s="1"/>
      <c r="Y128" s="1"/>
      <c r="Z128" s="1"/>
      <c r="AA128" s="1"/>
    </row>
    <row r="129" spans="1:27" ht="14.4" x14ac:dyDescent="0.3">
      <c r="A129" s="1"/>
      <c r="B129" s="1"/>
      <c r="C129" s="1"/>
      <c r="D129" s="13">
        <v>19575</v>
      </c>
      <c r="E129" s="1" t="s">
        <v>115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4">
        <v>-3500</v>
      </c>
      <c r="R129" s="15">
        <v>0.01</v>
      </c>
      <c r="S129" s="11">
        <f t="shared" si="0"/>
        <v>1513622.6300000001</v>
      </c>
      <c r="T129" s="1" t="str">
        <f t="shared" si="1"/>
        <v>NO</v>
      </c>
      <c r="U129" s="15">
        <v>0.75</v>
      </c>
      <c r="V129" s="11">
        <f t="shared" si="4"/>
        <v>1135216.9725000001</v>
      </c>
      <c r="W129" s="1" t="str">
        <f t="shared" si="5"/>
        <v>No</v>
      </c>
      <c r="X129" s="1"/>
      <c r="Y129" s="1"/>
      <c r="Z129" s="1"/>
      <c r="AA129" s="1"/>
    </row>
    <row r="130" spans="1:27" ht="14.4" x14ac:dyDescent="0.3">
      <c r="A130" s="1"/>
      <c r="B130" s="1"/>
      <c r="C130" s="1"/>
      <c r="D130" s="13">
        <v>19580</v>
      </c>
      <c r="E130" s="1" t="s">
        <v>118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4">
        <v>617000</v>
      </c>
      <c r="R130" s="15">
        <v>0.01</v>
      </c>
      <c r="S130" s="11">
        <f t="shared" si="0"/>
        <v>1513622.6300000001</v>
      </c>
      <c r="T130" s="1" t="str">
        <f t="shared" si="1"/>
        <v>NO</v>
      </c>
      <c r="U130" s="15">
        <v>0.75</v>
      </c>
      <c r="V130" s="11">
        <f t="shared" si="4"/>
        <v>1135216.9725000001</v>
      </c>
      <c r="W130" s="1" t="str">
        <f t="shared" si="5"/>
        <v>No</v>
      </c>
      <c r="X130" s="1"/>
      <c r="Y130" s="1"/>
      <c r="Z130" s="1"/>
      <c r="AA130" s="1"/>
    </row>
    <row r="131" spans="1:27" ht="14.4" x14ac:dyDescent="0.3">
      <c r="A131" s="1"/>
      <c r="B131" s="1"/>
      <c r="C131" s="1"/>
      <c r="D131" s="13">
        <v>19585</v>
      </c>
      <c r="E131" s="1" t="s">
        <v>115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4">
        <v>-32183</v>
      </c>
      <c r="R131" s="15">
        <v>0.01</v>
      </c>
      <c r="S131" s="11">
        <f t="shared" si="0"/>
        <v>1513622.6300000001</v>
      </c>
      <c r="T131" s="1" t="str">
        <f t="shared" si="1"/>
        <v>NO</v>
      </c>
      <c r="U131" s="15">
        <v>0.75</v>
      </c>
      <c r="V131" s="11">
        <f t="shared" si="4"/>
        <v>1135216.9725000001</v>
      </c>
      <c r="W131" s="1" t="str">
        <f t="shared" si="5"/>
        <v>No</v>
      </c>
      <c r="X131" s="1"/>
      <c r="Y131" s="1"/>
      <c r="Z131" s="1"/>
      <c r="AA131" s="1"/>
    </row>
    <row r="132" spans="1:27" ht="14.4" x14ac:dyDescent="0.3">
      <c r="A132" s="1"/>
      <c r="B132" s="1"/>
      <c r="C132" s="1"/>
      <c r="D132" s="13">
        <v>21000</v>
      </c>
      <c r="E132" s="1" t="s">
        <v>37</v>
      </c>
      <c r="F132" s="14">
        <v>-2533287</v>
      </c>
      <c r="G132" s="14">
        <v>-6968038</v>
      </c>
      <c r="H132" s="14">
        <v>-10746061</v>
      </c>
      <c r="I132" s="14">
        <v>-11827634</v>
      </c>
      <c r="J132" s="14">
        <v>-10915765</v>
      </c>
      <c r="K132" s="14">
        <v>-12523362</v>
      </c>
      <c r="L132" s="14">
        <v>-20319982</v>
      </c>
      <c r="M132" s="14">
        <v>-14537466</v>
      </c>
      <c r="N132" s="14">
        <v>-25374939</v>
      </c>
      <c r="O132" s="14">
        <v>-16318157</v>
      </c>
      <c r="P132" s="14">
        <v>-16837288</v>
      </c>
      <c r="Q132" s="14">
        <v>-28254854</v>
      </c>
      <c r="R132" s="15">
        <v>0.01</v>
      </c>
      <c r="S132" s="11">
        <f t="shared" si="0"/>
        <v>1513622.6300000001</v>
      </c>
      <c r="T132" s="1" t="str">
        <f t="shared" si="1"/>
        <v>YES</v>
      </c>
      <c r="U132" s="15">
        <v>0.75</v>
      </c>
      <c r="V132" s="11">
        <f t="shared" si="4"/>
        <v>1135216.9725000001</v>
      </c>
      <c r="W132" s="1" t="str">
        <f t="shared" si="5"/>
        <v>Yes</v>
      </c>
      <c r="X132" s="1"/>
      <c r="Y132" s="1"/>
      <c r="Z132" s="1"/>
      <c r="AA132" s="1"/>
    </row>
    <row r="133" spans="1:27" ht="14.4" x14ac:dyDescent="0.3">
      <c r="A133" s="1"/>
      <c r="B133" s="1"/>
      <c r="C133" s="1"/>
      <c r="D133" s="13">
        <v>21100</v>
      </c>
      <c r="E133" s="1" t="s">
        <v>37</v>
      </c>
      <c r="F133" s="14">
        <v>-18659156</v>
      </c>
      <c r="G133" s="14">
        <v>-19167388</v>
      </c>
      <c r="H133" s="14">
        <v>-19537622</v>
      </c>
      <c r="I133" s="14">
        <v>-19277769</v>
      </c>
      <c r="J133" s="14">
        <v>-18754724</v>
      </c>
      <c r="K133" s="14">
        <v>-18250127</v>
      </c>
      <c r="L133" s="14">
        <v>-16879736</v>
      </c>
      <c r="M133" s="14">
        <v>-16487056</v>
      </c>
      <c r="N133" s="14">
        <v>-17598592</v>
      </c>
      <c r="O133" s="14">
        <v>-16322620</v>
      </c>
      <c r="P133" s="14">
        <v>-17279071</v>
      </c>
      <c r="Q133" s="14">
        <v>-17038149</v>
      </c>
      <c r="R133" s="15">
        <v>0.01</v>
      </c>
      <c r="S133" s="11">
        <f t="shared" si="0"/>
        <v>1513622.6300000001</v>
      </c>
      <c r="T133" s="1" t="str">
        <f t="shared" si="1"/>
        <v>YES</v>
      </c>
      <c r="U133" s="15">
        <v>0.75</v>
      </c>
      <c r="V133" s="11">
        <f t="shared" si="4"/>
        <v>1135216.9725000001</v>
      </c>
      <c r="W133" s="1" t="str">
        <f t="shared" si="5"/>
        <v>Yes</v>
      </c>
      <c r="X133" s="1"/>
      <c r="Y133" s="1"/>
      <c r="Z133" s="1"/>
      <c r="AA133" s="1"/>
    </row>
    <row r="134" spans="1:27" ht="14.4" x14ac:dyDescent="0.3">
      <c r="A134" s="1"/>
      <c r="B134" s="1"/>
      <c r="C134" s="1"/>
      <c r="D134" s="13">
        <v>21105</v>
      </c>
      <c r="E134" s="1" t="s">
        <v>119</v>
      </c>
      <c r="F134" s="14">
        <v>-7726144</v>
      </c>
      <c r="G134" s="14">
        <v>-6894256</v>
      </c>
      <c r="H134" s="14">
        <v>-7205876</v>
      </c>
      <c r="I134" s="14">
        <v>-6506341</v>
      </c>
      <c r="J134" s="14">
        <v>-5470410</v>
      </c>
      <c r="K134" s="14">
        <v>-6672383</v>
      </c>
      <c r="L134" s="14">
        <v>-7283570</v>
      </c>
      <c r="M134" s="14">
        <v>-9149766</v>
      </c>
      <c r="N134" s="14">
        <v>-10307707</v>
      </c>
      <c r="O134" s="14">
        <v>-10034018</v>
      </c>
      <c r="P134" s="14">
        <v>-7183833</v>
      </c>
      <c r="Q134" s="14">
        <v>-3327117</v>
      </c>
      <c r="R134" s="15">
        <v>0.01</v>
      </c>
      <c r="S134" s="11">
        <f t="shared" si="0"/>
        <v>1513622.6300000001</v>
      </c>
      <c r="T134" s="1" t="str">
        <f t="shared" si="1"/>
        <v>YES</v>
      </c>
      <c r="U134" s="15">
        <v>0.75</v>
      </c>
      <c r="V134" s="11">
        <f t="shared" si="4"/>
        <v>1135216.9725000001</v>
      </c>
      <c r="W134" s="1" t="str">
        <f t="shared" si="5"/>
        <v>Yes</v>
      </c>
      <c r="X134" s="1"/>
      <c r="Y134" s="1"/>
      <c r="Z134" s="1"/>
      <c r="AA134" s="1"/>
    </row>
    <row r="135" spans="1:27" ht="14.4" x14ac:dyDescent="0.3">
      <c r="A135" s="1"/>
      <c r="B135" s="1"/>
      <c r="C135" s="1"/>
      <c r="D135" s="13">
        <v>21151</v>
      </c>
      <c r="E135" s="1" t="s">
        <v>120</v>
      </c>
      <c r="F135" s="14">
        <v>-738553</v>
      </c>
      <c r="G135" s="14">
        <v>-729680</v>
      </c>
      <c r="H135" s="14">
        <v>-760002</v>
      </c>
      <c r="I135" s="14">
        <v>-772482</v>
      </c>
      <c r="J135" s="14">
        <v>-743265</v>
      </c>
      <c r="K135" s="14">
        <v>-711953</v>
      </c>
      <c r="L135" s="14">
        <v>-735654</v>
      </c>
      <c r="M135" s="14">
        <v>-708435</v>
      </c>
      <c r="N135" s="14">
        <v>-721610</v>
      </c>
      <c r="O135" s="14">
        <v>-728417</v>
      </c>
      <c r="P135" s="14">
        <v>-717656</v>
      </c>
      <c r="Q135" s="14">
        <v>-718046</v>
      </c>
      <c r="R135" s="15">
        <v>0.01</v>
      </c>
      <c r="S135" s="11">
        <f t="shared" si="0"/>
        <v>1513622.6300000001</v>
      </c>
      <c r="T135" s="1" t="str">
        <f t="shared" si="1"/>
        <v>NO</v>
      </c>
      <c r="U135" s="15">
        <v>0.75</v>
      </c>
      <c r="V135" s="11">
        <f t="shared" si="4"/>
        <v>1135216.9725000001</v>
      </c>
      <c r="W135" s="1" t="str">
        <f t="shared" si="5"/>
        <v>No</v>
      </c>
      <c r="X135" s="1"/>
      <c r="Y135" s="1"/>
      <c r="Z135" s="1"/>
      <c r="AA135" s="1"/>
    </row>
    <row r="136" spans="1:27" ht="14.4" x14ac:dyDescent="0.3">
      <c r="A136" s="1"/>
      <c r="B136" s="1"/>
      <c r="C136" s="1"/>
      <c r="D136" s="13">
        <v>22100</v>
      </c>
      <c r="E136" s="1" t="s">
        <v>121</v>
      </c>
      <c r="F136" s="14">
        <v>7987825</v>
      </c>
      <c r="G136" s="14">
        <v>6943274</v>
      </c>
      <c r="H136" s="14">
        <v>6964798</v>
      </c>
      <c r="I136" s="14">
        <v>6640082</v>
      </c>
      <c r="J136" s="14">
        <v>8268199</v>
      </c>
      <c r="K136" s="14">
        <v>6572652</v>
      </c>
      <c r="L136" s="14">
        <v>14403922</v>
      </c>
      <c r="M136" s="14">
        <v>3658888</v>
      </c>
      <c r="N136" s="14">
        <v>2666816</v>
      </c>
      <c r="O136" s="14">
        <v>6787905</v>
      </c>
      <c r="P136" s="14">
        <v>4554260</v>
      </c>
      <c r="Q136" s="14">
        <v>8647577</v>
      </c>
      <c r="R136" s="15">
        <v>0.01</v>
      </c>
      <c r="S136" s="11">
        <f t="shared" si="0"/>
        <v>1513622.6300000001</v>
      </c>
      <c r="T136" s="1" t="str">
        <f t="shared" si="1"/>
        <v>YES</v>
      </c>
      <c r="U136" s="15">
        <v>0.75</v>
      </c>
      <c r="V136" s="11">
        <f t="shared" si="4"/>
        <v>1135216.9725000001</v>
      </c>
      <c r="W136" s="1" t="str">
        <f t="shared" si="5"/>
        <v>Yes</v>
      </c>
      <c r="X136" s="1"/>
      <c r="Y136" s="1"/>
      <c r="Z136" s="1"/>
      <c r="AA136" s="1"/>
    </row>
    <row r="137" spans="1:27" ht="14.4" x14ac:dyDescent="0.3">
      <c r="A137" s="1"/>
      <c r="B137" s="1"/>
      <c r="C137" s="1"/>
      <c r="D137" s="13">
        <v>22105</v>
      </c>
      <c r="E137" s="1" t="s">
        <v>122</v>
      </c>
      <c r="F137" s="14">
        <v>-12238561</v>
      </c>
      <c r="G137" s="14">
        <v>-12781281</v>
      </c>
      <c r="H137" s="14">
        <v>-15339100</v>
      </c>
      <c r="I137" s="14">
        <v>-17700607</v>
      </c>
      <c r="J137" s="14">
        <v>-15773299</v>
      </c>
      <c r="K137" s="14">
        <v>-18852916</v>
      </c>
      <c r="L137" s="14">
        <v>-34057137</v>
      </c>
      <c r="M137" s="14">
        <v>-19476566</v>
      </c>
      <c r="N137" s="14">
        <v>-23801380</v>
      </c>
      <c r="O137" s="14">
        <v>-28442266</v>
      </c>
      <c r="P137" s="14">
        <v>-33088613</v>
      </c>
      <c r="Q137" s="14">
        <v>-35093407</v>
      </c>
      <c r="R137" s="15">
        <v>0.01</v>
      </c>
      <c r="S137" s="11">
        <f t="shared" si="0"/>
        <v>1513622.6300000001</v>
      </c>
      <c r="T137" s="1" t="str">
        <f t="shared" si="1"/>
        <v>YES</v>
      </c>
      <c r="U137" s="15">
        <v>0.75</v>
      </c>
      <c r="V137" s="11">
        <f t="shared" si="4"/>
        <v>1135216.9725000001</v>
      </c>
      <c r="W137" s="1" t="str">
        <f t="shared" si="5"/>
        <v>Yes</v>
      </c>
      <c r="X137" s="1"/>
      <c r="Y137" s="1"/>
      <c r="Z137" s="1"/>
      <c r="AA137" s="1"/>
    </row>
    <row r="138" spans="1:27" ht="14.4" x14ac:dyDescent="0.3">
      <c r="A138" s="1"/>
      <c r="B138" s="1"/>
      <c r="C138" s="1"/>
      <c r="D138" s="13">
        <v>22110</v>
      </c>
      <c r="E138" s="1" t="s">
        <v>123</v>
      </c>
      <c r="F138" s="14">
        <v>-265835</v>
      </c>
      <c r="G138" s="14">
        <v>-443669</v>
      </c>
      <c r="H138" s="14">
        <v>-507889</v>
      </c>
      <c r="I138" s="14">
        <v>-252855</v>
      </c>
      <c r="J138" s="14">
        <v>-295653</v>
      </c>
      <c r="K138" s="14">
        <v>-451728</v>
      </c>
      <c r="L138" s="14">
        <v>-932314</v>
      </c>
      <c r="M138" s="14">
        <v>-498457</v>
      </c>
      <c r="N138" s="14">
        <v>-254546</v>
      </c>
      <c r="O138" s="14">
        <v>-331012</v>
      </c>
      <c r="P138" s="14">
        <v>-533692</v>
      </c>
      <c r="Q138" s="14">
        <v>-723479</v>
      </c>
      <c r="R138" s="15">
        <v>0.01</v>
      </c>
      <c r="S138" s="11">
        <f t="shared" si="0"/>
        <v>1513622.6300000001</v>
      </c>
      <c r="T138" s="1" t="str">
        <f t="shared" si="1"/>
        <v>NO</v>
      </c>
      <c r="U138" s="15">
        <v>0.75</v>
      </c>
      <c r="V138" s="11">
        <f t="shared" si="4"/>
        <v>1135216.9725000001</v>
      </c>
      <c r="W138" s="1" t="str">
        <f t="shared" si="5"/>
        <v>No</v>
      </c>
      <c r="X138" s="1"/>
      <c r="Y138" s="1"/>
      <c r="Z138" s="1"/>
      <c r="AA138" s="1"/>
    </row>
    <row r="139" spans="1:27" ht="14.4" x14ac:dyDescent="0.3">
      <c r="A139" s="1"/>
      <c r="B139" s="1"/>
      <c r="C139" s="1"/>
      <c r="D139" s="13">
        <v>22111</v>
      </c>
      <c r="E139" s="1" t="s">
        <v>124</v>
      </c>
      <c r="F139" s="14">
        <v>-116317</v>
      </c>
      <c r="G139" s="14">
        <v>-155430</v>
      </c>
      <c r="H139" s="14">
        <v>-264834</v>
      </c>
      <c r="I139" s="14">
        <v>-3101</v>
      </c>
      <c r="J139" s="14">
        <v>-49961</v>
      </c>
      <c r="K139" s="14">
        <v>-86234</v>
      </c>
      <c r="L139" s="14">
        <v>-79254</v>
      </c>
      <c r="M139" s="14">
        <v>-135817</v>
      </c>
      <c r="N139" s="14">
        <v>-189080</v>
      </c>
      <c r="O139" s="14">
        <v>-41153</v>
      </c>
      <c r="P139" s="14">
        <v>-394273</v>
      </c>
      <c r="Q139" s="14">
        <v>-104756</v>
      </c>
      <c r="R139" s="15">
        <v>0.01</v>
      </c>
      <c r="S139" s="11">
        <f t="shared" si="0"/>
        <v>1513622.6300000001</v>
      </c>
      <c r="T139" s="1" t="str">
        <f t="shared" si="1"/>
        <v>NO</v>
      </c>
      <c r="U139" s="15">
        <v>0.75</v>
      </c>
      <c r="V139" s="11">
        <f t="shared" si="4"/>
        <v>1135216.9725000001</v>
      </c>
      <c r="W139" s="1" t="str">
        <f t="shared" si="5"/>
        <v>No</v>
      </c>
      <c r="X139" s="1"/>
      <c r="Y139" s="1"/>
      <c r="Z139" s="1"/>
      <c r="AA139" s="1"/>
    </row>
    <row r="140" spans="1:27" ht="14.4" x14ac:dyDescent="0.3">
      <c r="A140" s="1"/>
      <c r="B140" s="1"/>
      <c r="C140" s="1"/>
      <c r="D140" s="13">
        <v>22120</v>
      </c>
      <c r="E140" s="1" t="s">
        <v>125</v>
      </c>
      <c r="F140" s="14">
        <v>-112617</v>
      </c>
      <c r="G140" s="14">
        <v>-134346</v>
      </c>
      <c r="H140" s="14">
        <v>-90271</v>
      </c>
      <c r="I140" s="14">
        <v>-97041</v>
      </c>
      <c r="J140" s="14">
        <v>-122771</v>
      </c>
      <c r="K140" s="14">
        <v>-152363</v>
      </c>
      <c r="L140" s="14">
        <v>-106992</v>
      </c>
      <c r="M140" s="14">
        <v>-67919</v>
      </c>
      <c r="N140" s="14">
        <v>-80779</v>
      </c>
      <c r="O140" s="14">
        <v>-111376</v>
      </c>
      <c r="P140" s="14">
        <v>-140394</v>
      </c>
      <c r="Q140" s="14">
        <v>-97565</v>
      </c>
      <c r="R140" s="15">
        <v>0.01</v>
      </c>
      <c r="S140" s="11">
        <f t="shared" si="0"/>
        <v>1513622.6300000001</v>
      </c>
      <c r="T140" s="1" t="str">
        <f t="shared" si="1"/>
        <v>NO</v>
      </c>
      <c r="U140" s="15">
        <v>0.75</v>
      </c>
      <c r="V140" s="11">
        <f t="shared" si="4"/>
        <v>1135216.9725000001</v>
      </c>
      <c r="W140" s="1" t="str">
        <f t="shared" si="5"/>
        <v>No</v>
      </c>
      <c r="X140" s="1"/>
      <c r="Y140" s="1"/>
      <c r="Z140" s="1"/>
      <c r="AA140" s="1"/>
    </row>
    <row r="141" spans="1:27" ht="14.4" x14ac:dyDescent="0.3">
      <c r="A141" s="1"/>
      <c r="B141" s="1"/>
      <c r="C141" s="1"/>
      <c r="D141" s="13">
        <v>22125</v>
      </c>
      <c r="E141" s="1" t="s">
        <v>126</v>
      </c>
      <c r="F141" s="14">
        <v>-83334</v>
      </c>
      <c r="G141" s="14">
        <v>-166668</v>
      </c>
      <c r="H141" s="14">
        <v>-250002</v>
      </c>
      <c r="I141" s="14">
        <v>-83336</v>
      </c>
      <c r="J141" s="14">
        <v>-166670</v>
      </c>
      <c r="K141" s="14">
        <v>70973</v>
      </c>
      <c r="L141" s="14">
        <v>-12361</v>
      </c>
      <c r="M141" s="14">
        <v>-95695</v>
      </c>
      <c r="N141" s="14">
        <v>70971</v>
      </c>
      <c r="O141" s="14">
        <v>-12363</v>
      </c>
      <c r="P141" s="14">
        <v>-95697</v>
      </c>
      <c r="Q141" s="1"/>
      <c r="R141" s="15">
        <v>0.01</v>
      </c>
      <c r="S141" s="11">
        <f t="shared" si="0"/>
        <v>1513622.6300000001</v>
      </c>
      <c r="T141" s="1" t="str">
        <f t="shared" si="1"/>
        <v>NO</v>
      </c>
      <c r="U141" s="15">
        <v>0.75</v>
      </c>
      <c r="V141" s="11">
        <f t="shared" si="4"/>
        <v>1135216.9725000001</v>
      </c>
      <c r="W141" s="1" t="str">
        <f t="shared" si="5"/>
        <v>No</v>
      </c>
      <c r="X141" s="1"/>
      <c r="Y141" s="1"/>
      <c r="Z141" s="1"/>
      <c r="AA141" s="1"/>
    </row>
    <row r="142" spans="1:27" ht="14.4" x14ac:dyDescent="0.3">
      <c r="A142" s="1"/>
      <c r="B142" s="1"/>
      <c r="C142" s="1"/>
      <c r="D142" s="13">
        <v>22130</v>
      </c>
      <c r="E142" s="1" t="s">
        <v>127</v>
      </c>
      <c r="F142" s="14">
        <v>-601266</v>
      </c>
      <c r="G142" s="14">
        <v>-649694</v>
      </c>
      <c r="H142" s="14">
        <v>-732404</v>
      </c>
      <c r="I142" s="14">
        <v>-834917</v>
      </c>
      <c r="J142" s="14">
        <v>-958783</v>
      </c>
      <c r="K142" s="14">
        <v>-990005</v>
      </c>
      <c r="L142" s="14">
        <v>-996577</v>
      </c>
      <c r="M142" s="14">
        <v>-887483</v>
      </c>
      <c r="N142" s="14">
        <v>-1044687</v>
      </c>
      <c r="O142" s="14">
        <v>-962852</v>
      </c>
      <c r="P142" s="14">
        <v>-1082938</v>
      </c>
      <c r="Q142" s="14">
        <v>-460546</v>
      </c>
      <c r="R142" s="15">
        <v>0.01</v>
      </c>
      <c r="S142" s="11">
        <f t="shared" si="0"/>
        <v>1513622.6300000001</v>
      </c>
      <c r="T142" s="1" t="str">
        <f t="shared" si="1"/>
        <v>NO</v>
      </c>
      <c r="U142" s="15">
        <v>0.75</v>
      </c>
      <c r="V142" s="11">
        <f t="shared" ref="V142:V205" si="6">S142*U142</f>
        <v>1135216.9725000001</v>
      </c>
      <c r="W142" s="1" t="str">
        <f t="shared" ref="W142:W205" si="7">IF(ABS(Q142)&gt;V142,"Yes","No")</f>
        <v>No</v>
      </c>
      <c r="X142" s="1"/>
      <c r="Y142" s="1"/>
      <c r="Z142" s="1"/>
      <c r="AA142" s="1"/>
    </row>
    <row r="143" spans="1:27" ht="14.4" x14ac:dyDescent="0.3">
      <c r="A143" s="1"/>
      <c r="B143" s="1"/>
      <c r="C143" s="1"/>
      <c r="D143" s="13">
        <v>22140</v>
      </c>
      <c r="E143" s="1" t="s">
        <v>128</v>
      </c>
      <c r="F143" s="14">
        <v>-1250664</v>
      </c>
      <c r="G143" s="14">
        <v>-1480800</v>
      </c>
      <c r="H143" s="14">
        <v>-911962</v>
      </c>
      <c r="I143" s="14">
        <v>-1064265</v>
      </c>
      <c r="J143" s="14">
        <v>-1409499</v>
      </c>
      <c r="K143" s="14">
        <v>-1430467</v>
      </c>
      <c r="L143" s="14">
        <v>-1448614</v>
      </c>
      <c r="M143" s="14">
        <v>-1287056</v>
      </c>
      <c r="N143" s="14">
        <v>-2224894</v>
      </c>
      <c r="O143" s="14">
        <v>-2215065</v>
      </c>
      <c r="P143" s="14">
        <v>-1289903</v>
      </c>
      <c r="Q143" s="14">
        <v>-1450765</v>
      </c>
      <c r="R143" s="15">
        <v>0.01</v>
      </c>
      <c r="S143" s="11">
        <f t="shared" si="0"/>
        <v>1513622.6300000001</v>
      </c>
      <c r="T143" s="1" t="str">
        <f t="shared" si="1"/>
        <v>NO</v>
      </c>
      <c r="U143" s="15">
        <v>0.75</v>
      </c>
      <c r="V143" s="11">
        <f t="shared" si="6"/>
        <v>1135216.9725000001</v>
      </c>
      <c r="W143" s="1" t="str">
        <f t="shared" si="7"/>
        <v>Yes</v>
      </c>
      <c r="X143" s="1"/>
      <c r="Y143" s="1"/>
      <c r="Z143" s="1"/>
      <c r="AA143" s="1"/>
    </row>
    <row r="144" spans="1:27" ht="14.4" x14ac:dyDescent="0.3">
      <c r="A144" s="1"/>
      <c r="B144" s="1"/>
      <c r="C144" s="1"/>
      <c r="D144" s="13">
        <v>22150</v>
      </c>
      <c r="E144" s="1" t="s">
        <v>129</v>
      </c>
      <c r="F144" s="14">
        <v>-1132190</v>
      </c>
      <c r="G144" s="14">
        <v>-1585610</v>
      </c>
      <c r="H144" s="14">
        <v>-614990</v>
      </c>
      <c r="I144" s="14">
        <v>-1748214</v>
      </c>
      <c r="J144" s="14">
        <v>-1800801</v>
      </c>
      <c r="K144" s="14">
        <v>-1805553</v>
      </c>
      <c r="L144" s="14">
        <v>-2036512</v>
      </c>
      <c r="M144" s="14">
        <v>-1970223</v>
      </c>
      <c r="N144" s="14">
        <v>-2958570</v>
      </c>
      <c r="O144" s="14">
        <v>-2777829</v>
      </c>
      <c r="P144" s="14">
        <v>-1992311</v>
      </c>
      <c r="Q144" s="14">
        <v>-540401</v>
      </c>
      <c r="R144" s="15">
        <v>0.01</v>
      </c>
      <c r="S144" s="11">
        <f t="shared" si="0"/>
        <v>1513622.6300000001</v>
      </c>
      <c r="T144" s="1" t="str">
        <f t="shared" si="1"/>
        <v>NO</v>
      </c>
      <c r="U144" s="15">
        <v>0.75</v>
      </c>
      <c r="V144" s="11">
        <f t="shared" si="6"/>
        <v>1135216.9725000001</v>
      </c>
      <c r="W144" s="1" t="str">
        <f t="shared" si="7"/>
        <v>No</v>
      </c>
      <c r="X144" s="1"/>
      <c r="Y144" s="1"/>
      <c r="Z144" s="1"/>
      <c r="AA144" s="1"/>
    </row>
    <row r="145" spans="1:27" ht="14.4" x14ac:dyDescent="0.3">
      <c r="A145" s="1"/>
      <c r="B145" s="1"/>
      <c r="C145" s="1"/>
      <c r="D145" s="13">
        <v>22152</v>
      </c>
      <c r="E145" s="1" t="s">
        <v>130</v>
      </c>
      <c r="F145" s="1"/>
      <c r="G145" s="1"/>
      <c r="H145" s="1"/>
      <c r="I145" s="1"/>
      <c r="J145" s="1"/>
      <c r="K145" s="1"/>
      <c r="L145" s="1"/>
      <c r="M145" s="1"/>
      <c r="N145" s="1"/>
      <c r="O145" s="14">
        <v>-69000</v>
      </c>
      <c r="P145" s="14">
        <v>-114000</v>
      </c>
      <c r="Q145" s="1"/>
      <c r="R145" s="15">
        <v>0.01</v>
      </c>
      <c r="S145" s="11">
        <f t="shared" si="0"/>
        <v>1513622.6300000001</v>
      </c>
      <c r="T145" s="1" t="str">
        <f t="shared" si="1"/>
        <v>NO</v>
      </c>
      <c r="U145" s="15">
        <v>0.75</v>
      </c>
      <c r="V145" s="11">
        <f t="shared" si="6"/>
        <v>1135216.9725000001</v>
      </c>
      <c r="W145" s="1" t="str">
        <f t="shared" si="7"/>
        <v>No</v>
      </c>
      <c r="X145" s="1"/>
      <c r="Y145" s="1"/>
      <c r="Z145" s="1"/>
      <c r="AA145" s="1"/>
    </row>
    <row r="146" spans="1:27" ht="14.4" x14ac:dyDescent="0.3">
      <c r="A146" s="1"/>
      <c r="B146" s="1"/>
      <c r="C146" s="1"/>
      <c r="D146" s="13">
        <v>22155</v>
      </c>
      <c r="E146" s="1" t="s">
        <v>131</v>
      </c>
      <c r="F146" s="14">
        <v>-329384</v>
      </c>
      <c r="G146" s="14">
        <v>-619717</v>
      </c>
      <c r="H146" s="14">
        <v>-858050</v>
      </c>
      <c r="I146" s="14">
        <v>-1121383</v>
      </c>
      <c r="J146" s="14">
        <v>-534716</v>
      </c>
      <c r="K146" s="14">
        <v>-698049</v>
      </c>
      <c r="L146" s="14">
        <v>-111382</v>
      </c>
      <c r="M146" s="14">
        <v>-474715</v>
      </c>
      <c r="N146" s="14">
        <v>-54784</v>
      </c>
      <c r="O146" s="14">
        <v>-218117</v>
      </c>
      <c r="P146" s="14">
        <v>-381450</v>
      </c>
      <c r="Q146" s="14">
        <v>-50000</v>
      </c>
      <c r="R146" s="15">
        <v>0.01</v>
      </c>
      <c r="S146" s="11">
        <f t="shared" si="0"/>
        <v>1513622.6300000001</v>
      </c>
      <c r="T146" s="1" t="str">
        <f t="shared" si="1"/>
        <v>NO</v>
      </c>
      <c r="U146" s="15">
        <v>0.75</v>
      </c>
      <c r="V146" s="11">
        <f t="shared" si="6"/>
        <v>1135216.9725000001</v>
      </c>
      <c r="W146" s="1" t="str">
        <f t="shared" si="7"/>
        <v>No</v>
      </c>
      <c r="X146" s="1"/>
      <c r="Y146" s="1"/>
      <c r="Z146" s="1"/>
      <c r="AA146" s="1"/>
    </row>
    <row r="147" spans="1:27" ht="14.4" x14ac:dyDescent="0.3">
      <c r="A147" s="1"/>
      <c r="B147" s="1"/>
      <c r="C147" s="1"/>
      <c r="D147" s="13">
        <v>22160</v>
      </c>
      <c r="E147" s="1" t="s">
        <v>132</v>
      </c>
      <c r="F147" s="14">
        <v>-44806</v>
      </c>
      <c r="G147" s="14">
        <v>-263212</v>
      </c>
      <c r="H147" s="14">
        <v>-496169</v>
      </c>
      <c r="I147" s="14">
        <v>-522979</v>
      </c>
      <c r="J147" s="14">
        <v>-566147</v>
      </c>
      <c r="K147" s="14">
        <v>-571426</v>
      </c>
      <c r="L147" s="14">
        <v>-641482</v>
      </c>
      <c r="M147" s="14">
        <v>-816332</v>
      </c>
      <c r="N147" s="14">
        <v>-965361</v>
      </c>
      <c r="O147" s="14">
        <v>-1142702</v>
      </c>
      <c r="P147" s="14">
        <v>-446734</v>
      </c>
      <c r="Q147" s="14">
        <v>-440196</v>
      </c>
      <c r="R147" s="15">
        <v>0.01</v>
      </c>
      <c r="S147" s="11">
        <f t="shared" si="0"/>
        <v>1513622.6300000001</v>
      </c>
      <c r="T147" s="1" t="str">
        <f t="shared" si="1"/>
        <v>NO</v>
      </c>
      <c r="U147" s="15">
        <v>0.75</v>
      </c>
      <c r="V147" s="11">
        <f t="shared" si="6"/>
        <v>1135216.9725000001</v>
      </c>
      <c r="W147" s="1" t="str">
        <f t="shared" si="7"/>
        <v>No</v>
      </c>
      <c r="X147" s="1"/>
      <c r="Y147" s="1"/>
      <c r="Z147" s="1"/>
      <c r="AA147" s="1"/>
    </row>
    <row r="148" spans="1:27" ht="14.4" x14ac:dyDescent="0.3">
      <c r="A148" s="1"/>
      <c r="B148" s="1"/>
      <c r="C148" s="1"/>
      <c r="D148" s="13">
        <v>22170</v>
      </c>
      <c r="E148" s="1" t="s">
        <v>133</v>
      </c>
      <c r="F148" s="14">
        <v>-483285</v>
      </c>
      <c r="G148" s="14">
        <v>-675984</v>
      </c>
      <c r="H148" s="14">
        <v>-883964</v>
      </c>
      <c r="I148" s="14">
        <v>-823125</v>
      </c>
      <c r="J148" s="14">
        <v>-935654</v>
      </c>
      <c r="K148" s="14">
        <v>-939009</v>
      </c>
      <c r="L148" s="14">
        <v>-964583</v>
      </c>
      <c r="M148" s="14">
        <v>-872649</v>
      </c>
      <c r="N148" s="14">
        <v>-998885</v>
      </c>
      <c r="O148" s="14">
        <v>-878517</v>
      </c>
      <c r="P148" s="14">
        <v>-1081278</v>
      </c>
      <c r="Q148" s="14">
        <v>-205415</v>
      </c>
      <c r="R148" s="15">
        <v>0.01</v>
      </c>
      <c r="S148" s="11">
        <f t="shared" si="0"/>
        <v>1513622.6300000001</v>
      </c>
      <c r="T148" s="1" t="str">
        <f t="shared" si="1"/>
        <v>NO</v>
      </c>
      <c r="U148" s="15">
        <v>0.75</v>
      </c>
      <c r="V148" s="11">
        <f t="shared" si="6"/>
        <v>1135216.9725000001</v>
      </c>
      <c r="W148" s="1" t="str">
        <f t="shared" si="7"/>
        <v>No</v>
      </c>
      <c r="X148" s="1"/>
      <c r="Y148" s="1"/>
      <c r="Z148" s="1"/>
      <c r="AA148" s="1"/>
    </row>
    <row r="149" spans="1:27" ht="14.4" x14ac:dyDescent="0.3">
      <c r="A149" s="1"/>
      <c r="B149" s="1"/>
      <c r="C149" s="1"/>
      <c r="D149" s="13">
        <v>22180</v>
      </c>
      <c r="E149" s="1" t="s">
        <v>134</v>
      </c>
      <c r="F149" s="13">
        <v>652</v>
      </c>
      <c r="G149" s="13">
        <v>652</v>
      </c>
      <c r="H149" s="14">
        <v>-697185</v>
      </c>
      <c r="I149" s="14">
        <v>-829799</v>
      </c>
      <c r="J149" s="14">
        <v>-1019963</v>
      </c>
      <c r="K149" s="14">
        <v>-1142853</v>
      </c>
      <c r="L149" s="14">
        <v>-1287756</v>
      </c>
      <c r="M149" s="14">
        <v>-1483339</v>
      </c>
      <c r="N149" s="14">
        <v>-1672433</v>
      </c>
      <c r="O149" s="14">
        <v>-1672433</v>
      </c>
      <c r="P149" s="14">
        <v>-1865536</v>
      </c>
      <c r="Q149" s="14">
        <v>-2124438</v>
      </c>
      <c r="R149" s="15">
        <v>0.01</v>
      </c>
      <c r="S149" s="11">
        <f t="shared" si="0"/>
        <v>1513622.6300000001</v>
      </c>
      <c r="T149" s="1" t="str">
        <f t="shared" si="1"/>
        <v>YES</v>
      </c>
      <c r="U149" s="15">
        <v>0.75</v>
      </c>
      <c r="V149" s="11">
        <f t="shared" si="6"/>
        <v>1135216.9725000001</v>
      </c>
      <c r="W149" s="1" t="str">
        <f t="shared" si="7"/>
        <v>Yes</v>
      </c>
      <c r="X149" s="1"/>
      <c r="Y149" s="1"/>
      <c r="Z149" s="1"/>
      <c r="AA149" s="1"/>
    </row>
    <row r="150" spans="1:27" ht="14.4" x14ac:dyDescent="0.3">
      <c r="A150" s="1"/>
      <c r="B150" s="1"/>
      <c r="C150" s="1"/>
      <c r="D150" s="13">
        <v>22187</v>
      </c>
      <c r="E150" s="1" t="s">
        <v>135</v>
      </c>
      <c r="F150" s="14">
        <v>-115456</v>
      </c>
      <c r="G150" s="14">
        <v>-160595</v>
      </c>
      <c r="H150" s="14">
        <v>-192768</v>
      </c>
      <c r="I150" s="14">
        <v>-132521</v>
      </c>
      <c r="J150" s="14">
        <v>-206043</v>
      </c>
      <c r="K150" s="14">
        <v>-227139</v>
      </c>
      <c r="L150" s="14">
        <v>-618594</v>
      </c>
      <c r="M150" s="14">
        <v>-1090923</v>
      </c>
      <c r="N150" s="14">
        <v>-1421686</v>
      </c>
      <c r="O150" s="14">
        <v>-1684307</v>
      </c>
      <c r="P150" s="14">
        <v>-1751369</v>
      </c>
      <c r="Q150" s="14">
        <v>-240576</v>
      </c>
      <c r="R150" s="15">
        <v>0.01</v>
      </c>
      <c r="S150" s="11">
        <f t="shared" si="0"/>
        <v>1513622.6300000001</v>
      </c>
      <c r="T150" s="1" t="str">
        <f t="shared" si="1"/>
        <v>NO</v>
      </c>
      <c r="U150" s="15">
        <v>0.75</v>
      </c>
      <c r="V150" s="11">
        <f t="shared" si="6"/>
        <v>1135216.9725000001</v>
      </c>
      <c r="W150" s="1" t="str">
        <f t="shared" si="7"/>
        <v>No</v>
      </c>
      <c r="X150" s="1"/>
      <c r="Y150" s="1"/>
      <c r="Z150" s="1"/>
      <c r="AA150" s="1"/>
    </row>
    <row r="151" spans="1:27" ht="14.4" x14ac:dyDescent="0.3">
      <c r="A151" s="1"/>
      <c r="B151" s="1"/>
      <c r="C151" s="1"/>
      <c r="D151" s="13">
        <v>22190</v>
      </c>
      <c r="E151" s="1" t="s">
        <v>136</v>
      </c>
      <c r="F151" s="14">
        <v>-21335</v>
      </c>
      <c r="G151" s="14">
        <v>29783</v>
      </c>
      <c r="H151" s="14">
        <v>110043</v>
      </c>
      <c r="I151" s="14">
        <v>158321</v>
      </c>
      <c r="J151" s="14">
        <v>136988</v>
      </c>
      <c r="K151" s="14">
        <v>121673</v>
      </c>
      <c r="L151" s="14">
        <v>106358</v>
      </c>
      <c r="M151" s="14">
        <v>91043</v>
      </c>
      <c r="N151" s="14">
        <v>75728</v>
      </c>
      <c r="O151" s="14">
        <v>60413</v>
      </c>
      <c r="P151" s="14">
        <v>45098</v>
      </c>
      <c r="Q151" s="13">
        <v>-1</v>
      </c>
      <c r="R151" s="15">
        <v>0.01</v>
      </c>
      <c r="S151" s="11">
        <f t="shared" si="0"/>
        <v>1513622.6300000001</v>
      </c>
      <c r="T151" s="1" t="str">
        <f t="shared" si="1"/>
        <v>NO</v>
      </c>
      <c r="U151" s="15">
        <v>0.75</v>
      </c>
      <c r="V151" s="11">
        <f t="shared" si="6"/>
        <v>1135216.9725000001</v>
      </c>
      <c r="W151" s="1" t="str">
        <f t="shared" si="7"/>
        <v>No</v>
      </c>
      <c r="X151" s="1"/>
      <c r="Y151" s="1"/>
      <c r="Z151" s="1"/>
      <c r="AA151" s="1"/>
    </row>
    <row r="152" spans="1:27" ht="14.4" x14ac:dyDescent="0.3">
      <c r="A152" s="1"/>
      <c r="B152" s="1"/>
      <c r="C152" s="1"/>
      <c r="D152" s="13">
        <v>22200</v>
      </c>
      <c r="E152" s="1" t="s">
        <v>137</v>
      </c>
      <c r="F152" s="14">
        <v>-25307</v>
      </c>
      <c r="G152" s="14">
        <v>-50609</v>
      </c>
      <c r="H152" s="14">
        <v>-141032</v>
      </c>
      <c r="I152" s="14">
        <v>-49011</v>
      </c>
      <c r="J152" s="14">
        <v>-95022</v>
      </c>
      <c r="K152" s="14">
        <v>-166000</v>
      </c>
      <c r="L152" s="14">
        <v>-64074</v>
      </c>
      <c r="M152" s="14">
        <v>-117756</v>
      </c>
      <c r="N152" s="14">
        <v>-3000</v>
      </c>
      <c r="O152" s="14">
        <v>-44769</v>
      </c>
      <c r="P152" s="14">
        <v>-89903</v>
      </c>
      <c r="Q152" s="14">
        <v>-3000</v>
      </c>
      <c r="R152" s="15">
        <v>0.01</v>
      </c>
      <c r="S152" s="11">
        <f t="shared" si="0"/>
        <v>1513622.6300000001</v>
      </c>
      <c r="T152" s="1" t="str">
        <f t="shared" si="1"/>
        <v>NO</v>
      </c>
      <c r="U152" s="15">
        <v>0.75</v>
      </c>
      <c r="V152" s="11">
        <f t="shared" si="6"/>
        <v>1135216.9725000001</v>
      </c>
      <c r="W152" s="1" t="str">
        <f t="shared" si="7"/>
        <v>No</v>
      </c>
      <c r="X152" s="1"/>
      <c r="Y152" s="1"/>
      <c r="Z152" s="1"/>
      <c r="AA152" s="1"/>
    </row>
    <row r="153" spans="1:27" ht="14.4" x14ac:dyDescent="0.3">
      <c r="A153" s="1"/>
      <c r="B153" s="1"/>
      <c r="C153" s="1"/>
      <c r="D153" s="13">
        <v>22211</v>
      </c>
      <c r="E153" s="1" t="s">
        <v>137</v>
      </c>
      <c r="F153" s="14">
        <v>-3605243</v>
      </c>
      <c r="G153" s="14">
        <v>-7210486</v>
      </c>
      <c r="H153" s="1"/>
      <c r="I153" s="14">
        <v>-3644861</v>
      </c>
      <c r="J153" s="14">
        <v>-7289722</v>
      </c>
      <c r="K153" s="1"/>
      <c r="L153" s="14">
        <v>-3829194</v>
      </c>
      <c r="M153" s="14">
        <v>-7658389</v>
      </c>
      <c r="N153" s="14">
        <v>-3884375</v>
      </c>
      <c r="O153" s="14">
        <v>-9063543</v>
      </c>
      <c r="P153" s="14">
        <v>-13919012</v>
      </c>
      <c r="Q153" s="1"/>
      <c r="R153" s="15">
        <v>0.01</v>
      </c>
      <c r="S153" s="11">
        <f t="shared" si="0"/>
        <v>1513622.6300000001</v>
      </c>
      <c r="T153" s="1" t="str">
        <f t="shared" si="1"/>
        <v>NO</v>
      </c>
      <c r="U153" s="15">
        <v>0.75</v>
      </c>
      <c r="V153" s="11">
        <f t="shared" si="6"/>
        <v>1135216.9725000001</v>
      </c>
      <c r="W153" s="1" t="str">
        <f t="shared" si="7"/>
        <v>No</v>
      </c>
      <c r="X153" s="1"/>
      <c r="Y153" s="1"/>
      <c r="Z153" s="1"/>
      <c r="AA153" s="1"/>
    </row>
    <row r="154" spans="1:27" ht="14.4" x14ac:dyDescent="0.3">
      <c r="A154" s="1"/>
      <c r="B154" s="1"/>
      <c r="C154" s="1"/>
      <c r="D154" s="13">
        <v>22215</v>
      </c>
      <c r="E154" s="1" t="s">
        <v>137</v>
      </c>
      <c r="F154" s="14">
        <v>-28572</v>
      </c>
      <c r="G154" s="14">
        <v>-57145</v>
      </c>
      <c r="H154" s="14">
        <v>-78190</v>
      </c>
      <c r="I154" s="14">
        <v>-27313</v>
      </c>
      <c r="J154" s="14">
        <v>-53376</v>
      </c>
      <c r="K154" s="14">
        <v>-145491</v>
      </c>
      <c r="L154" s="14">
        <v>-10642</v>
      </c>
      <c r="M154" s="14">
        <v>-174444</v>
      </c>
      <c r="N154" s="14">
        <v>-46120</v>
      </c>
      <c r="O154" s="14">
        <v>-214842</v>
      </c>
      <c r="P154" s="14">
        <v>-309437</v>
      </c>
      <c r="Q154" s="14">
        <v>-46719</v>
      </c>
      <c r="R154" s="15">
        <v>0.01</v>
      </c>
      <c r="S154" s="11">
        <f t="shared" si="0"/>
        <v>1513622.6300000001</v>
      </c>
      <c r="T154" s="1" t="str">
        <f t="shared" si="1"/>
        <v>NO</v>
      </c>
      <c r="U154" s="15">
        <v>0.75</v>
      </c>
      <c r="V154" s="11">
        <f t="shared" si="6"/>
        <v>1135216.9725000001</v>
      </c>
      <c r="W154" s="1" t="str">
        <f t="shared" si="7"/>
        <v>No</v>
      </c>
      <c r="X154" s="1"/>
      <c r="Y154" s="1"/>
      <c r="Z154" s="1"/>
      <c r="AA154" s="1"/>
    </row>
    <row r="155" spans="1:27" ht="14.4" x14ac:dyDescent="0.3">
      <c r="A155" s="1"/>
      <c r="B155" s="1"/>
      <c r="C155" s="1"/>
      <c r="D155" s="13">
        <v>22217</v>
      </c>
      <c r="E155" s="1" t="s">
        <v>137</v>
      </c>
      <c r="F155" s="14">
        <v>-290149</v>
      </c>
      <c r="G155" s="14">
        <v>-574945</v>
      </c>
      <c r="H155" s="14">
        <v>5353</v>
      </c>
      <c r="I155" s="14">
        <v>-274640</v>
      </c>
      <c r="J155" s="14">
        <v>-554633</v>
      </c>
      <c r="K155" s="1"/>
      <c r="L155" s="14">
        <v>-286080</v>
      </c>
      <c r="M155" s="14">
        <v>-595943</v>
      </c>
      <c r="N155" s="1"/>
      <c r="O155" s="14">
        <v>-284412</v>
      </c>
      <c r="P155" s="14">
        <v>-559650</v>
      </c>
      <c r="Q155" s="14">
        <v>-43553</v>
      </c>
      <c r="R155" s="15">
        <v>0.01</v>
      </c>
      <c r="S155" s="11">
        <f t="shared" si="0"/>
        <v>1513622.6300000001</v>
      </c>
      <c r="T155" s="1" t="str">
        <f t="shared" si="1"/>
        <v>NO</v>
      </c>
      <c r="U155" s="15">
        <v>0.75</v>
      </c>
      <c r="V155" s="11">
        <f t="shared" si="6"/>
        <v>1135216.9725000001</v>
      </c>
      <c r="W155" s="1" t="str">
        <f t="shared" si="7"/>
        <v>No</v>
      </c>
      <c r="X155" s="1"/>
      <c r="Y155" s="1"/>
      <c r="Z155" s="1"/>
      <c r="AA155" s="1"/>
    </row>
    <row r="156" spans="1:27" ht="14.4" x14ac:dyDescent="0.3">
      <c r="A156" s="1"/>
      <c r="B156" s="1"/>
      <c r="C156" s="1"/>
      <c r="D156" s="13">
        <v>22219</v>
      </c>
      <c r="E156" s="1" t="s">
        <v>137</v>
      </c>
      <c r="F156" s="14">
        <v>-63493</v>
      </c>
      <c r="G156" s="14">
        <v>-72820</v>
      </c>
      <c r="H156" s="14">
        <v>-82146</v>
      </c>
      <c r="I156" s="14">
        <v>-90223</v>
      </c>
      <c r="J156" s="14">
        <v>-99549</v>
      </c>
      <c r="K156" s="14">
        <v>-108876</v>
      </c>
      <c r="L156" s="14">
        <v>-118202</v>
      </c>
      <c r="M156" s="14">
        <v>-80702</v>
      </c>
      <c r="N156" s="14">
        <v>-93202</v>
      </c>
      <c r="O156" s="1"/>
      <c r="P156" s="1"/>
      <c r="Q156" s="1"/>
      <c r="R156" s="15">
        <v>0.01</v>
      </c>
      <c r="S156" s="11">
        <f t="shared" si="0"/>
        <v>1513622.6300000001</v>
      </c>
      <c r="T156" s="1" t="str">
        <f t="shared" si="1"/>
        <v>NO</v>
      </c>
      <c r="U156" s="15">
        <v>0.75</v>
      </c>
      <c r="V156" s="11">
        <f t="shared" si="6"/>
        <v>1135216.9725000001</v>
      </c>
      <c r="W156" s="1" t="str">
        <f t="shared" si="7"/>
        <v>No</v>
      </c>
      <c r="X156" s="1"/>
      <c r="Y156" s="1"/>
      <c r="Z156" s="1"/>
      <c r="AA156" s="1"/>
    </row>
    <row r="157" spans="1:27" ht="14.4" x14ac:dyDescent="0.3">
      <c r="A157" s="1"/>
      <c r="B157" s="1"/>
      <c r="C157" s="1"/>
      <c r="D157" s="13">
        <v>22220</v>
      </c>
      <c r="E157" s="1" t="s">
        <v>137</v>
      </c>
      <c r="F157" s="14">
        <v>-14081</v>
      </c>
      <c r="G157" s="14">
        <v>-15489</v>
      </c>
      <c r="H157" s="1"/>
      <c r="I157" s="14">
        <v>-1408</v>
      </c>
      <c r="J157" s="14">
        <v>-2816</v>
      </c>
      <c r="K157" s="14">
        <v>-4224</v>
      </c>
      <c r="L157" s="14">
        <v>-5632</v>
      </c>
      <c r="M157" s="14">
        <v>-7040</v>
      </c>
      <c r="N157" s="14">
        <v>-8448</v>
      </c>
      <c r="O157" s="14">
        <v>-9856</v>
      </c>
      <c r="P157" s="14">
        <v>-11265</v>
      </c>
      <c r="Q157" s="14">
        <v>-12673</v>
      </c>
      <c r="R157" s="15">
        <v>0.01</v>
      </c>
      <c r="S157" s="11">
        <f t="shared" si="0"/>
        <v>1513622.6300000001</v>
      </c>
      <c r="T157" s="1" t="str">
        <f t="shared" si="1"/>
        <v>NO</v>
      </c>
      <c r="U157" s="15">
        <v>0.75</v>
      </c>
      <c r="V157" s="11">
        <f t="shared" si="6"/>
        <v>1135216.9725000001</v>
      </c>
      <c r="W157" s="1" t="str">
        <f t="shared" si="7"/>
        <v>No</v>
      </c>
      <c r="X157" s="1"/>
      <c r="Y157" s="1"/>
      <c r="Z157" s="1"/>
      <c r="AA157" s="1"/>
    </row>
    <row r="158" spans="1:27" ht="14.4" x14ac:dyDescent="0.3">
      <c r="A158" s="1"/>
      <c r="B158" s="1"/>
      <c r="C158" s="1"/>
      <c r="D158" s="13">
        <v>22305</v>
      </c>
      <c r="E158" s="1" t="s">
        <v>138</v>
      </c>
      <c r="F158" s="14">
        <v>-5688</v>
      </c>
      <c r="G158" s="14">
        <v>-3846</v>
      </c>
      <c r="H158" s="14">
        <v>-3585</v>
      </c>
      <c r="I158" s="14">
        <v>-3240</v>
      </c>
      <c r="J158" s="14">
        <v>-3174</v>
      </c>
      <c r="K158" s="14">
        <v>-3076</v>
      </c>
      <c r="L158" s="14">
        <v>-3196</v>
      </c>
      <c r="M158" s="14">
        <v>-3217</v>
      </c>
      <c r="N158" s="14">
        <v>-3338</v>
      </c>
      <c r="O158" s="14">
        <v>-3442</v>
      </c>
      <c r="P158" s="14">
        <v>-2804</v>
      </c>
      <c r="Q158" s="14">
        <v>-2813</v>
      </c>
      <c r="R158" s="15">
        <v>0.01</v>
      </c>
      <c r="S158" s="11">
        <f t="shared" si="0"/>
        <v>1513622.6300000001</v>
      </c>
      <c r="T158" s="1" t="str">
        <f t="shared" si="1"/>
        <v>NO</v>
      </c>
      <c r="U158" s="15">
        <v>0.75</v>
      </c>
      <c r="V158" s="11">
        <f t="shared" si="6"/>
        <v>1135216.9725000001</v>
      </c>
      <c r="W158" s="1" t="str">
        <f t="shared" si="7"/>
        <v>No</v>
      </c>
      <c r="X158" s="1"/>
      <c r="Y158" s="1"/>
      <c r="Z158" s="1"/>
      <c r="AA158" s="1"/>
    </row>
    <row r="159" spans="1:27" ht="14.4" x14ac:dyDescent="0.3">
      <c r="A159" s="1"/>
      <c r="B159" s="1"/>
      <c r="C159" s="1"/>
      <c r="D159" s="13">
        <v>22310</v>
      </c>
      <c r="E159" s="1" t="s">
        <v>138</v>
      </c>
      <c r="F159" s="14">
        <v>-349406</v>
      </c>
      <c r="G159" s="14">
        <v>-335774</v>
      </c>
      <c r="H159" s="14">
        <v>-251508</v>
      </c>
      <c r="I159" s="14">
        <v>-271882</v>
      </c>
      <c r="J159" s="14">
        <v>-255118</v>
      </c>
      <c r="K159" s="14">
        <v>-217690</v>
      </c>
      <c r="L159" s="14">
        <v>-389109</v>
      </c>
      <c r="M159" s="14">
        <v>-283910</v>
      </c>
      <c r="N159" s="14">
        <v>-332653</v>
      </c>
      <c r="O159" s="14">
        <v>-465889</v>
      </c>
      <c r="P159" s="14">
        <v>-401981</v>
      </c>
      <c r="Q159" s="14">
        <v>-430909</v>
      </c>
      <c r="R159" s="15">
        <v>0.01</v>
      </c>
      <c r="S159" s="11">
        <f t="shared" si="0"/>
        <v>1513622.6300000001</v>
      </c>
      <c r="T159" s="1" t="str">
        <f t="shared" si="1"/>
        <v>NO</v>
      </c>
      <c r="U159" s="15">
        <v>0.75</v>
      </c>
      <c r="V159" s="11">
        <f t="shared" si="6"/>
        <v>1135216.9725000001</v>
      </c>
      <c r="W159" s="1" t="str">
        <f t="shared" si="7"/>
        <v>No</v>
      </c>
      <c r="X159" s="1"/>
      <c r="Y159" s="1"/>
      <c r="Z159" s="1"/>
      <c r="AA159" s="1"/>
    </row>
    <row r="160" spans="1:27" ht="14.4" x14ac:dyDescent="0.3">
      <c r="A160" s="1"/>
      <c r="B160" s="1"/>
      <c r="C160" s="1"/>
      <c r="D160" s="13">
        <v>22320</v>
      </c>
      <c r="E160" s="1" t="s">
        <v>139</v>
      </c>
      <c r="F160" s="14">
        <v>-19085</v>
      </c>
      <c r="G160" s="14">
        <v>49291</v>
      </c>
      <c r="H160" s="14">
        <v>61874</v>
      </c>
      <c r="I160" s="14">
        <v>57928</v>
      </c>
      <c r="J160" s="14">
        <v>18748</v>
      </c>
      <c r="K160" s="14">
        <v>50988</v>
      </c>
      <c r="L160" s="14">
        <v>38573</v>
      </c>
      <c r="M160" s="14">
        <v>50094</v>
      </c>
      <c r="N160" s="14">
        <v>52675</v>
      </c>
      <c r="O160" s="14">
        <v>66963</v>
      </c>
      <c r="P160" s="14">
        <v>63456</v>
      </c>
      <c r="Q160" s="1"/>
      <c r="R160" s="15">
        <v>0.01</v>
      </c>
      <c r="S160" s="11">
        <f t="shared" si="0"/>
        <v>1513622.6300000001</v>
      </c>
      <c r="T160" s="1" t="str">
        <f t="shared" si="1"/>
        <v>NO</v>
      </c>
      <c r="U160" s="15">
        <v>0.75</v>
      </c>
      <c r="V160" s="11">
        <f t="shared" si="6"/>
        <v>1135216.9725000001</v>
      </c>
      <c r="W160" s="1" t="str">
        <f t="shared" si="7"/>
        <v>No</v>
      </c>
      <c r="X160" s="1"/>
      <c r="Y160" s="1"/>
      <c r="Z160" s="1"/>
      <c r="AA160" s="1"/>
    </row>
    <row r="161" spans="1:27" ht="14.4" x14ac:dyDescent="0.3">
      <c r="A161" s="1"/>
      <c r="B161" s="1"/>
      <c r="C161" s="1"/>
      <c r="D161" s="13">
        <v>22330</v>
      </c>
      <c r="E161" s="1" t="s">
        <v>140</v>
      </c>
      <c r="F161" s="14">
        <v>-680499</v>
      </c>
      <c r="G161" s="14">
        <v>-678836</v>
      </c>
      <c r="H161" s="14">
        <v>-673972</v>
      </c>
      <c r="I161" s="14">
        <v>-675866</v>
      </c>
      <c r="J161" s="14">
        <v>-673100</v>
      </c>
      <c r="K161" s="14">
        <v>-669869</v>
      </c>
      <c r="L161" s="14">
        <v>-671498</v>
      </c>
      <c r="M161" s="14">
        <v>-657714</v>
      </c>
      <c r="N161" s="14">
        <v>-657795</v>
      </c>
      <c r="O161" s="14">
        <v>-650577</v>
      </c>
      <c r="P161" s="14">
        <v>-605344</v>
      </c>
      <c r="Q161" s="14">
        <v>-1017663</v>
      </c>
      <c r="R161" s="15">
        <v>0.01</v>
      </c>
      <c r="S161" s="11">
        <f t="shared" si="0"/>
        <v>1513622.6300000001</v>
      </c>
      <c r="T161" s="1" t="str">
        <f t="shared" si="1"/>
        <v>NO</v>
      </c>
      <c r="U161" s="15">
        <v>0.75</v>
      </c>
      <c r="V161" s="11">
        <f t="shared" si="6"/>
        <v>1135216.9725000001</v>
      </c>
      <c r="W161" s="1" t="str">
        <f t="shared" si="7"/>
        <v>No</v>
      </c>
      <c r="X161" s="1"/>
      <c r="Y161" s="1"/>
      <c r="Z161" s="1"/>
      <c r="AA161" s="1"/>
    </row>
    <row r="162" spans="1:27" ht="14.4" x14ac:dyDescent="0.3">
      <c r="A162" s="1"/>
      <c r="B162" s="1"/>
      <c r="C162" s="1"/>
      <c r="D162" s="13">
        <v>22335</v>
      </c>
      <c r="E162" s="1" t="s">
        <v>140</v>
      </c>
      <c r="F162" s="14">
        <v>-1623814</v>
      </c>
      <c r="G162" s="14">
        <v>-1628623</v>
      </c>
      <c r="H162" s="14">
        <v>-1633706</v>
      </c>
      <c r="I162" s="14">
        <v>-1638761</v>
      </c>
      <c r="J162" s="14">
        <v>-1643589</v>
      </c>
      <c r="K162" s="14">
        <v>-1648482</v>
      </c>
      <c r="L162" s="14">
        <v>-1653622</v>
      </c>
      <c r="M162" s="14">
        <v>-1658458</v>
      </c>
      <c r="N162" s="14">
        <v>-1825285</v>
      </c>
      <c r="O162" s="14">
        <v>-1830195</v>
      </c>
      <c r="P162" s="14">
        <v>-1835092</v>
      </c>
      <c r="Q162" s="14">
        <v>-1945156</v>
      </c>
      <c r="R162" s="15">
        <v>0.01</v>
      </c>
      <c r="S162" s="11">
        <f t="shared" si="0"/>
        <v>1513622.6300000001</v>
      </c>
      <c r="T162" s="1" t="str">
        <f t="shared" si="1"/>
        <v>YES</v>
      </c>
      <c r="U162" s="15">
        <v>0.75</v>
      </c>
      <c r="V162" s="11">
        <f t="shared" si="6"/>
        <v>1135216.9725000001</v>
      </c>
      <c r="W162" s="1" t="str">
        <f t="shared" si="7"/>
        <v>Yes</v>
      </c>
      <c r="X162" s="1"/>
      <c r="Y162" s="1"/>
      <c r="Z162" s="1"/>
      <c r="AA162" s="1"/>
    </row>
    <row r="163" spans="1:27" ht="14.4" x14ac:dyDescent="0.3">
      <c r="A163" s="1"/>
      <c r="B163" s="1"/>
      <c r="C163" s="1"/>
      <c r="D163" s="13">
        <v>22340</v>
      </c>
      <c r="E163" s="1" t="s">
        <v>141</v>
      </c>
      <c r="F163" s="14">
        <v>-1289036</v>
      </c>
      <c r="G163" s="14">
        <v>-1939435</v>
      </c>
      <c r="H163" s="14">
        <v>-2105384</v>
      </c>
      <c r="I163" s="14">
        <v>-2713963</v>
      </c>
      <c r="J163" s="14">
        <v>-3062069</v>
      </c>
      <c r="K163" s="14">
        <v>-3788330</v>
      </c>
      <c r="L163" s="14">
        <v>-4408898</v>
      </c>
      <c r="M163" s="14">
        <v>-5056017</v>
      </c>
      <c r="N163" s="14">
        <v>-5781739</v>
      </c>
      <c r="O163" s="14">
        <v>-6541942</v>
      </c>
      <c r="P163" s="14">
        <v>-7264663</v>
      </c>
      <c r="Q163" s="14">
        <v>-3981691</v>
      </c>
      <c r="R163" s="15">
        <v>0.01</v>
      </c>
      <c r="S163" s="11">
        <f t="shared" si="0"/>
        <v>1513622.6300000001</v>
      </c>
      <c r="T163" s="1" t="str">
        <f t="shared" si="1"/>
        <v>YES</v>
      </c>
      <c r="U163" s="15">
        <v>0.75</v>
      </c>
      <c r="V163" s="11">
        <f t="shared" si="6"/>
        <v>1135216.9725000001</v>
      </c>
      <c r="W163" s="1" t="str">
        <f t="shared" si="7"/>
        <v>Yes</v>
      </c>
      <c r="X163" s="1"/>
      <c r="Y163" s="1"/>
      <c r="Z163" s="1"/>
      <c r="AA163" s="1"/>
    </row>
    <row r="164" spans="1:27" ht="14.4" x14ac:dyDescent="0.3">
      <c r="A164" s="1"/>
      <c r="B164" s="1"/>
      <c r="C164" s="1"/>
      <c r="D164" s="13">
        <v>22345</v>
      </c>
      <c r="E164" s="1" t="s">
        <v>142</v>
      </c>
      <c r="F164" s="14">
        <v>-57015</v>
      </c>
      <c r="G164" s="14">
        <v>-108403</v>
      </c>
      <c r="H164" s="14">
        <v>-162373</v>
      </c>
      <c r="I164" s="14">
        <v>-209148</v>
      </c>
      <c r="J164" s="14">
        <v>-285188</v>
      </c>
      <c r="K164" s="14">
        <v>-157141</v>
      </c>
      <c r="L164" s="14">
        <v>-243231</v>
      </c>
      <c r="M164" s="14">
        <v>-347436</v>
      </c>
      <c r="N164" s="14">
        <v>-193667</v>
      </c>
      <c r="O164" s="14">
        <v>-281896</v>
      </c>
      <c r="P164" s="14">
        <v>-370712</v>
      </c>
      <c r="Q164" s="14">
        <v>-125739</v>
      </c>
      <c r="R164" s="15">
        <v>0.01</v>
      </c>
      <c r="S164" s="11">
        <f t="shared" si="0"/>
        <v>1513622.6300000001</v>
      </c>
      <c r="T164" s="1" t="str">
        <f t="shared" si="1"/>
        <v>NO</v>
      </c>
      <c r="U164" s="15">
        <v>0.75</v>
      </c>
      <c r="V164" s="11">
        <f t="shared" si="6"/>
        <v>1135216.9725000001</v>
      </c>
      <c r="W164" s="1" t="str">
        <f t="shared" si="7"/>
        <v>No</v>
      </c>
      <c r="X164" s="1"/>
      <c r="Y164" s="1"/>
      <c r="Z164" s="1"/>
      <c r="AA164" s="1"/>
    </row>
    <row r="165" spans="1:27" ht="14.4" x14ac:dyDescent="0.3">
      <c r="A165" s="1"/>
      <c r="B165" s="1"/>
      <c r="C165" s="1"/>
      <c r="D165" s="13">
        <v>22350</v>
      </c>
      <c r="E165" s="1" t="s">
        <v>143</v>
      </c>
      <c r="F165" s="14">
        <v>-140158</v>
      </c>
      <c r="G165" s="14">
        <v>-159812</v>
      </c>
      <c r="H165" s="14">
        <v>-200203</v>
      </c>
      <c r="I165" s="14">
        <v>-217624</v>
      </c>
      <c r="J165" s="14">
        <v>-273313</v>
      </c>
      <c r="K165" s="14">
        <v>-297987</v>
      </c>
      <c r="L165" s="14">
        <v>-334058</v>
      </c>
      <c r="M165" s="14">
        <v>-378197</v>
      </c>
      <c r="N165" s="14">
        <v>-353849</v>
      </c>
      <c r="O165" s="14">
        <v>-297348</v>
      </c>
      <c r="P165" s="14">
        <v>-358588</v>
      </c>
      <c r="Q165" s="14">
        <v>-210000</v>
      </c>
      <c r="R165" s="15">
        <v>0.01</v>
      </c>
      <c r="S165" s="11">
        <f t="shared" si="0"/>
        <v>1513622.6300000001</v>
      </c>
      <c r="T165" s="1" t="str">
        <f t="shared" si="1"/>
        <v>NO</v>
      </c>
      <c r="U165" s="15">
        <v>0.75</v>
      </c>
      <c r="V165" s="11">
        <f t="shared" si="6"/>
        <v>1135216.9725000001</v>
      </c>
      <c r="W165" s="1" t="str">
        <f t="shared" si="7"/>
        <v>No</v>
      </c>
      <c r="X165" s="1"/>
      <c r="Y165" s="1"/>
      <c r="Z165" s="1"/>
      <c r="AA165" s="1"/>
    </row>
    <row r="166" spans="1:27" ht="14.4" x14ac:dyDescent="0.3">
      <c r="A166" s="1"/>
      <c r="B166" s="1"/>
      <c r="C166" s="1"/>
      <c r="D166" s="13">
        <v>22355</v>
      </c>
      <c r="E166" s="1" t="s">
        <v>144</v>
      </c>
      <c r="F166" s="14">
        <v>-32818</v>
      </c>
      <c r="G166" s="1"/>
      <c r="H166" s="1"/>
      <c r="I166" s="1"/>
      <c r="J166" s="14">
        <v>-24704</v>
      </c>
      <c r="K166" s="14">
        <v>-8598</v>
      </c>
      <c r="L166" s="14">
        <v>-4100</v>
      </c>
      <c r="M166" s="1"/>
      <c r="N166" s="1"/>
      <c r="O166" s="1"/>
      <c r="P166" s="14">
        <v>-7774</v>
      </c>
      <c r="Q166" s="1"/>
      <c r="R166" s="15">
        <v>0.01</v>
      </c>
      <c r="S166" s="11">
        <f t="shared" si="0"/>
        <v>1513622.6300000001</v>
      </c>
      <c r="T166" s="1" t="str">
        <f t="shared" si="1"/>
        <v>NO</v>
      </c>
      <c r="U166" s="15">
        <v>0.75</v>
      </c>
      <c r="V166" s="11">
        <f t="shared" si="6"/>
        <v>1135216.9725000001</v>
      </c>
      <c r="W166" s="1" t="str">
        <f t="shared" si="7"/>
        <v>No</v>
      </c>
      <c r="X166" s="1"/>
      <c r="Y166" s="1"/>
      <c r="Z166" s="1"/>
      <c r="AA166" s="1"/>
    </row>
    <row r="167" spans="1:27" ht="14.4" x14ac:dyDescent="0.3">
      <c r="A167" s="1"/>
      <c r="B167" s="1"/>
      <c r="C167" s="1"/>
      <c r="D167" s="13">
        <v>22360</v>
      </c>
      <c r="E167" s="1" t="s">
        <v>145</v>
      </c>
      <c r="F167" s="14">
        <v>-2682025</v>
      </c>
      <c r="G167" s="14">
        <v>-2769275</v>
      </c>
      <c r="H167" s="14">
        <v>-2911274</v>
      </c>
      <c r="I167" s="14">
        <v>-3039663</v>
      </c>
      <c r="J167" s="14">
        <v>-1214990</v>
      </c>
      <c r="K167" s="14">
        <v>-856480</v>
      </c>
      <c r="L167" s="14">
        <v>-987686</v>
      </c>
      <c r="M167" s="14">
        <v>-1118505</v>
      </c>
      <c r="N167" s="14">
        <v>-1264131</v>
      </c>
      <c r="O167" s="14">
        <v>-1426835</v>
      </c>
      <c r="P167" s="14">
        <v>-1587154</v>
      </c>
      <c r="Q167" s="14">
        <v>-1326646</v>
      </c>
      <c r="R167" s="15">
        <v>0.01</v>
      </c>
      <c r="S167" s="11">
        <f t="shared" si="0"/>
        <v>1513622.6300000001</v>
      </c>
      <c r="T167" s="1" t="str">
        <f t="shared" si="1"/>
        <v>NO</v>
      </c>
      <c r="U167" s="15">
        <v>0.75</v>
      </c>
      <c r="V167" s="11">
        <f t="shared" si="6"/>
        <v>1135216.9725000001</v>
      </c>
      <c r="W167" s="1" t="str">
        <f t="shared" si="7"/>
        <v>Yes</v>
      </c>
      <c r="X167" s="1"/>
      <c r="Y167" s="1"/>
      <c r="Z167" s="1"/>
      <c r="AA167" s="1"/>
    </row>
    <row r="168" spans="1:27" ht="14.4" x14ac:dyDescent="0.3">
      <c r="A168" s="1"/>
      <c r="B168" s="1"/>
      <c r="C168" s="1"/>
      <c r="D168" s="13">
        <v>22361</v>
      </c>
      <c r="E168" s="1" t="s">
        <v>145</v>
      </c>
      <c r="F168" s="14">
        <v>-880146</v>
      </c>
      <c r="G168" s="14">
        <v>-966155</v>
      </c>
      <c r="H168" s="14">
        <v>-1071452</v>
      </c>
      <c r="I168" s="14">
        <v>-1151478</v>
      </c>
      <c r="J168" s="14">
        <v>-453822</v>
      </c>
      <c r="K168" s="14">
        <v>-439354</v>
      </c>
      <c r="L168" s="14">
        <v>-484711</v>
      </c>
      <c r="M168" s="14">
        <v>-546420</v>
      </c>
      <c r="N168" s="14">
        <v>-669443</v>
      </c>
      <c r="O168" s="14">
        <v>-791924</v>
      </c>
      <c r="P168" s="14">
        <v>-932952</v>
      </c>
      <c r="Q168" s="14">
        <v>-665666</v>
      </c>
      <c r="R168" s="15">
        <v>0.01</v>
      </c>
      <c r="S168" s="11">
        <f t="shared" si="0"/>
        <v>1513622.6300000001</v>
      </c>
      <c r="T168" s="1" t="str">
        <f t="shared" si="1"/>
        <v>NO</v>
      </c>
      <c r="U168" s="15">
        <v>0.75</v>
      </c>
      <c r="V168" s="11">
        <f t="shared" si="6"/>
        <v>1135216.9725000001</v>
      </c>
      <c r="W168" s="1" t="str">
        <f t="shared" si="7"/>
        <v>No</v>
      </c>
      <c r="X168" s="1"/>
      <c r="Y168" s="1"/>
      <c r="Z168" s="1"/>
      <c r="AA168" s="1"/>
    </row>
    <row r="169" spans="1:27" ht="14.4" x14ac:dyDescent="0.3">
      <c r="A169" s="1"/>
      <c r="B169" s="1"/>
      <c r="C169" s="1"/>
      <c r="D169" s="13">
        <v>22363</v>
      </c>
      <c r="E169" s="1" t="s">
        <v>145</v>
      </c>
      <c r="F169" s="14">
        <v>21058</v>
      </c>
      <c r="G169" s="14">
        <v>36219</v>
      </c>
      <c r="H169" s="14">
        <v>60745</v>
      </c>
      <c r="I169" s="14">
        <v>84677</v>
      </c>
      <c r="J169" s="14">
        <v>-17638</v>
      </c>
      <c r="K169" s="14">
        <v>-16288</v>
      </c>
      <c r="L169" s="14">
        <v>-29682</v>
      </c>
      <c r="M169" s="14">
        <v>-37533</v>
      </c>
      <c r="N169" s="14">
        <v>-41947</v>
      </c>
      <c r="O169" s="14">
        <v>-43006</v>
      </c>
      <c r="P169" s="14">
        <v>-67249</v>
      </c>
      <c r="Q169" s="14">
        <v>-21000</v>
      </c>
      <c r="R169" s="15">
        <v>0.01</v>
      </c>
      <c r="S169" s="11">
        <f t="shared" si="0"/>
        <v>1513622.6300000001</v>
      </c>
      <c r="T169" s="1" t="str">
        <f t="shared" si="1"/>
        <v>NO</v>
      </c>
      <c r="U169" s="15">
        <v>0.75</v>
      </c>
      <c r="V169" s="11">
        <f t="shared" si="6"/>
        <v>1135216.9725000001</v>
      </c>
      <c r="W169" s="1" t="str">
        <f t="shared" si="7"/>
        <v>No</v>
      </c>
      <c r="X169" s="1"/>
      <c r="Y169" s="1"/>
      <c r="Z169" s="1"/>
      <c r="AA169" s="1"/>
    </row>
    <row r="170" spans="1:27" ht="14.4" x14ac:dyDescent="0.3">
      <c r="A170" s="1"/>
      <c r="B170" s="1"/>
      <c r="C170" s="1"/>
      <c r="D170" s="13">
        <v>22370</v>
      </c>
      <c r="E170" s="1" t="s">
        <v>146</v>
      </c>
      <c r="F170" s="14">
        <v>-255955</v>
      </c>
      <c r="G170" s="14">
        <v>-317668</v>
      </c>
      <c r="H170" s="14">
        <v>-246069</v>
      </c>
      <c r="I170" s="14">
        <v>-243468</v>
      </c>
      <c r="J170" s="14">
        <v>-268681</v>
      </c>
      <c r="K170" s="14">
        <v>-136299</v>
      </c>
      <c r="L170" s="14">
        <v>-138092</v>
      </c>
      <c r="M170" s="14">
        <v>-262464</v>
      </c>
      <c r="N170" s="14">
        <v>-139986</v>
      </c>
      <c r="O170" s="14">
        <v>71331</v>
      </c>
      <c r="P170" s="14">
        <v>64766</v>
      </c>
      <c r="Q170" s="14">
        <v>-10000</v>
      </c>
      <c r="R170" s="15">
        <v>0.01</v>
      </c>
      <c r="S170" s="11">
        <f t="shared" si="0"/>
        <v>1513622.6300000001</v>
      </c>
      <c r="T170" s="1" t="str">
        <f t="shared" si="1"/>
        <v>NO</v>
      </c>
      <c r="U170" s="15">
        <v>0.75</v>
      </c>
      <c r="V170" s="11">
        <f t="shared" si="6"/>
        <v>1135216.9725000001</v>
      </c>
      <c r="W170" s="1" t="str">
        <f t="shared" si="7"/>
        <v>No</v>
      </c>
      <c r="X170" s="1"/>
      <c r="Y170" s="1"/>
      <c r="Z170" s="1"/>
      <c r="AA170" s="1"/>
    </row>
    <row r="171" spans="1:27" ht="14.4" x14ac:dyDescent="0.3">
      <c r="A171" s="1"/>
      <c r="B171" s="1"/>
      <c r="C171" s="1"/>
      <c r="D171" s="13">
        <v>22371</v>
      </c>
      <c r="E171" s="1" t="s">
        <v>147</v>
      </c>
      <c r="F171" s="14">
        <v>-2081522</v>
      </c>
      <c r="G171" s="14">
        <v>-2078943</v>
      </c>
      <c r="H171" s="14">
        <v>-2080060</v>
      </c>
      <c r="I171" s="14">
        <v>-2080803</v>
      </c>
      <c r="J171" s="14">
        <v>-2078483</v>
      </c>
      <c r="K171" s="14">
        <v>-2077043</v>
      </c>
      <c r="L171" s="14">
        <v>-2078926</v>
      </c>
      <c r="M171" s="14">
        <v>-2076709</v>
      </c>
      <c r="N171" s="14">
        <v>-2078943</v>
      </c>
      <c r="O171" s="14">
        <v>-2077728</v>
      </c>
      <c r="P171" s="14">
        <v>-2076337</v>
      </c>
      <c r="Q171" s="14">
        <v>-2006625</v>
      </c>
      <c r="R171" s="15">
        <v>0.01</v>
      </c>
      <c r="S171" s="11">
        <f t="shared" si="0"/>
        <v>1513622.6300000001</v>
      </c>
      <c r="T171" s="1" t="str">
        <f t="shared" si="1"/>
        <v>YES</v>
      </c>
      <c r="U171" s="15">
        <v>0.75</v>
      </c>
      <c r="V171" s="11">
        <f t="shared" si="6"/>
        <v>1135216.9725000001</v>
      </c>
      <c r="W171" s="1" t="str">
        <f t="shared" si="7"/>
        <v>Yes</v>
      </c>
      <c r="X171" s="1"/>
      <c r="Y171" s="1"/>
      <c r="Z171" s="1"/>
      <c r="AA171" s="1"/>
    </row>
    <row r="172" spans="1:27" ht="14.4" x14ac:dyDescent="0.3">
      <c r="A172" s="1"/>
      <c r="B172" s="1"/>
      <c r="C172" s="1"/>
      <c r="D172" s="13">
        <v>22375</v>
      </c>
      <c r="E172" s="1" t="s">
        <v>146</v>
      </c>
      <c r="F172" s="14">
        <v>-18151</v>
      </c>
      <c r="G172" s="14">
        <v>-9041</v>
      </c>
      <c r="H172" s="14">
        <v>-6829</v>
      </c>
      <c r="I172" s="14">
        <v>-21524</v>
      </c>
      <c r="J172" s="14">
        <v>-15521</v>
      </c>
      <c r="K172" s="1"/>
      <c r="L172" s="14">
        <v>-66490</v>
      </c>
      <c r="M172" s="14">
        <v>-89898</v>
      </c>
      <c r="N172" s="1"/>
      <c r="O172" s="14">
        <v>19395</v>
      </c>
      <c r="P172" s="14">
        <v>-2107</v>
      </c>
      <c r="Q172" s="1"/>
      <c r="R172" s="15">
        <v>0.01</v>
      </c>
      <c r="S172" s="11">
        <f t="shared" si="0"/>
        <v>1513622.6300000001</v>
      </c>
      <c r="T172" s="1" t="str">
        <f t="shared" si="1"/>
        <v>NO</v>
      </c>
      <c r="U172" s="15">
        <v>0.75</v>
      </c>
      <c r="V172" s="11">
        <f t="shared" si="6"/>
        <v>1135216.9725000001</v>
      </c>
      <c r="W172" s="1" t="str">
        <f t="shared" si="7"/>
        <v>No</v>
      </c>
      <c r="X172" s="1"/>
      <c r="Y172" s="1"/>
      <c r="Z172" s="1"/>
      <c r="AA172" s="1"/>
    </row>
    <row r="173" spans="1:27" ht="14.4" x14ac:dyDescent="0.3">
      <c r="A173" s="1"/>
      <c r="B173" s="1"/>
      <c r="C173" s="1"/>
      <c r="D173" s="13">
        <v>22376</v>
      </c>
      <c r="E173" s="1" t="s">
        <v>148</v>
      </c>
      <c r="F173" s="14">
        <v>-24389</v>
      </c>
      <c r="G173" s="14">
        <v>-18004</v>
      </c>
      <c r="H173" s="14">
        <v>-11405</v>
      </c>
      <c r="I173" s="14">
        <v>-6550</v>
      </c>
      <c r="J173" s="14">
        <v>-8343</v>
      </c>
      <c r="K173" s="14">
        <v>-13224</v>
      </c>
      <c r="L173" s="14">
        <v>-19375</v>
      </c>
      <c r="M173" s="14">
        <v>-28212</v>
      </c>
      <c r="N173" s="14">
        <v>-37195</v>
      </c>
      <c r="O173" s="14">
        <v>-45499</v>
      </c>
      <c r="P173" s="14">
        <v>-55122</v>
      </c>
      <c r="Q173" s="14">
        <v>-63586</v>
      </c>
      <c r="R173" s="15">
        <v>0.01</v>
      </c>
      <c r="S173" s="11">
        <f t="shared" si="0"/>
        <v>1513622.6300000001</v>
      </c>
      <c r="T173" s="1" t="str">
        <f t="shared" si="1"/>
        <v>NO</v>
      </c>
      <c r="U173" s="15">
        <v>0.75</v>
      </c>
      <c r="V173" s="11">
        <f t="shared" si="6"/>
        <v>1135216.9725000001</v>
      </c>
      <c r="W173" s="1" t="str">
        <f t="shared" si="7"/>
        <v>No</v>
      </c>
      <c r="X173" s="1"/>
      <c r="Y173" s="1"/>
      <c r="Z173" s="1"/>
      <c r="AA173" s="1"/>
    </row>
    <row r="174" spans="1:27" ht="14.4" x14ac:dyDescent="0.3">
      <c r="A174" s="1"/>
      <c r="B174" s="1"/>
      <c r="C174" s="1"/>
      <c r="D174" s="13">
        <v>22380</v>
      </c>
      <c r="E174" s="1" t="s">
        <v>149</v>
      </c>
      <c r="F174" s="14">
        <v>-390566</v>
      </c>
      <c r="G174" s="14">
        <v>-333957</v>
      </c>
      <c r="H174" s="14">
        <v>-343981</v>
      </c>
      <c r="I174" s="14">
        <v>-923048</v>
      </c>
      <c r="J174" s="14">
        <v>-937657</v>
      </c>
      <c r="K174" s="14">
        <v>-1011308</v>
      </c>
      <c r="L174" s="14">
        <v>-1044152</v>
      </c>
      <c r="M174" s="14">
        <v>-974776</v>
      </c>
      <c r="N174" s="14">
        <v>-921256</v>
      </c>
      <c r="O174" s="14">
        <v>-904273</v>
      </c>
      <c r="P174" s="14">
        <v>-749357</v>
      </c>
      <c r="Q174" s="14">
        <v>-748033</v>
      </c>
      <c r="R174" s="15">
        <v>0.01</v>
      </c>
      <c r="S174" s="11">
        <f t="shared" si="0"/>
        <v>1513622.6300000001</v>
      </c>
      <c r="T174" s="1" t="str">
        <f t="shared" si="1"/>
        <v>NO</v>
      </c>
      <c r="U174" s="15">
        <v>0.75</v>
      </c>
      <c r="V174" s="11">
        <f t="shared" si="6"/>
        <v>1135216.9725000001</v>
      </c>
      <c r="W174" s="1" t="str">
        <f t="shared" si="7"/>
        <v>No</v>
      </c>
      <c r="X174" s="1"/>
      <c r="Y174" s="1"/>
      <c r="Z174" s="1"/>
      <c r="AA174" s="1"/>
    </row>
    <row r="175" spans="1:27" ht="14.4" x14ac:dyDescent="0.3">
      <c r="A175" s="1"/>
      <c r="B175" s="1"/>
      <c r="C175" s="1"/>
      <c r="D175" s="13">
        <v>22385</v>
      </c>
      <c r="E175" s="1" t="s">
        <v>150</v>
      </c>
      <c r="F175" s="14">
        <v>6640</v>
      </c>
      <c r="G175" s="14">
        <v>6640</v>
      </c>
      <c r="H175" s="14">
        <v>6640</v>
      </c>
      <c r="I175" s="14">
        <v>6640</v>
      </c>
      <c r="J175" s="14">
        <v>6640</v>
      </c>
      <c r="K175" s="14">
        <v>6640</v>
      </c>
      <c r="L175" s="14">
        <v>6640</v>
      </c>
      <c r="M175" s="14">
        <v>6640</v>
      </c>
      <c r="N175" s="14">
        <v>6640</v>
      </c>
      <c r="O175" s="14">
        <v>6640</v>
      </c>
      <c r="P175" s="14">
        <v>6640</v>
      </c>
      <c r="Q175" s="14">
        <v>6640</v>
      </c>
      <c r="R175" s="15">
        <v>0.01</v>
      </c>
      <c r="S175" s="11">
        <f t="shared" si="0"/>
        <v>1513622.6300000001</v>
      </c>
      <c r="T175" s="1" t="str">
        <f t="shared" si="1"/>
        <v>NO</v>
      </c>
      <c r="U175" s="15">
        <v>0.75</v>
      </c>
      <c r="V175" s="11">
        <f t="shared" si="6"/>
        <v>1135216.9725000001</v>
      </c>
      <c r="W175" s="1" t="str">
        <f t="shared" si="7"/>
        <v>No</v>
      </c>
      <c r="X175" s="1"/>
      <c r="Y175" s="1"/>
      <c r="Z175" s="1"/>
      <c r="AA175" s="1"/>
    </row>
    <row r="176" spans="1:27" ht="14.4" x14ac:dyDescent="0.3">
      <c r="A176" s="1"/>
      <c r="B176" s="1"/>
      <c r="C176" s="1"/>
      <c r="D176" s="13">
        <v>22410</v>
      </c>
      <c r="E176" s="1" t="s">
        <v>151</v>
      </c>
      <c r="F176" s="14">
        <v>207248</v>
      </c>
      <c r="G176" s="14">
        <v>204932</v>
      </c>
      <c r="H176" s="14">
        <v>213407</v>
      </c>
      <c r="I176" s="14">
        <v>219106</v>
      </c>
      <c r="J176" s="14">
        <v>121446</v>
      </c>
      <c r="K176" s="14">
        <v>170040</v>
      </c>
      <c r="L176" s="14">
        <v>206399</v>
      </c>
      <c r="M176" s="14">
        <v>209349</v>
      </c>
      <c r="N176" s="14">
        <v>220156</v>
      </c>
      <c r="O176" s="14">
        <v>213507</v>
      </c>
      <c r="P176" s="14">
        <v>214098</v>
      </c>
      <c r="Q176" s="14">
        <v>189011</v>
      </c>
      <c r="R176" s="15">
        <v>0.01</v>
      </c>
      <c r="S176" s="11">
        <f t="shared" si="0"/>
        <v>1513622.6300000001</v>
      </c>
      <c r="T176" s="1" t="str">
        <f t="shared" si="1"/>
        <v>NO</v>
      </c>
      <c r="U176" s="15">
        <v>0.75</v>
      </c>
      <c r="V176" s="11">
        <f t="shared" si="6"/>
        <v>1135216.9725000001</v>
      </c>
      <c r="W176" s="1" t="str">
        <f t="shared" si="7"/>
        <v>No</v>
      </c>
      <c r="X176" s="1"/>
      <c r="Y176" s="1"/>
      <c r="Z176" s="1"/>
      <c r="AA176" s="1"/>
    </row>
    <row r="177" spans="1:27" ht="14.4" x14ac:dyDescent="0.3">
      <c r="A177" s="1"/>
      <c r="B177" s="1"/>
      <c r="C177" s="1"/>
      <c r="D177" s="13">
        <v>22420</v>
      </c>
      <c r="E177" s="1" t="s">
        <v>152</v>
      </c>
      <c r="F177" s="14">
        <v>-2567</v>
      </c>
      <c r="G177" s="14">
        <v>-2395</v>
      </c>
      <c r="H177" s="14">
        <v>-3140</v>
      </c>
      <c r="I177" s="13">
        <v>-21</v>
      </c>
      <c r="J177" s="14">
        <v>-1210</v>
      </c>
      <c r="K177" s="13">
        <v>-166</v>
      </c>
      <c r="L177" s="13">
        <v>-45</v>
      </c>
      <c r="M177" s="14">
        <v>8124</v>
      </c>
      <c r="N177" s="14">
        <v>6615</v>
      </c>
      <c r="O177" s="14">
        <v>3875</v>
      </c>
      <c r="P177" s="14">
        <v>3838</v>
      </c>
      <c r="Q177" s="14">
        <v>-5313</v>
      </c>
      <c r="R177" s="15">
        <v>0.01</v>
      </c>
      <c r="S177" s="11">
        <f t="shared" si="0"/>
        <v>1513622.6300000001</v>
      </c>
      <c r="T177" s="1" t="str">
        <f t="shared" si="1"/>
        <v>NO</v>
      </c>
      <c r="U177" s="15">
        <v>0.75</v>
      </c>
      <c r="V177" s="11">
        <f t="shared" si="6"/>
        <v>1135216.9725000001</v>
      </c>
      <c r="W177" s="1" t="str">
        <f t="shared" si="7"/>
        <v>No</v>
      </c>
      <c r="X177" s="1"/>
      <c r="Y177" s="1"/>
      <c r="Z177" s="1"/>
      <c r="AA177" s="1"/>
    </row>
    <row r="178" spans="1:27" ht="14.4" x14ac:dyDescent="0.3">
      <c r="A178" s="1"/>
      <c r="B178" s="1"/>
      <c r="C178" s="1"/>
      <c r="D178" s="13">
        <v>22450</v>
      </c>
      <c r="E178" s="1" t="s">
        <v>153</v>
      </c>
      <c r="F178" s="14">
        <v>1975</v>
      </c>
      <c r="G178" s="14">
        <v>1975</v>
      </c>
      <c r="H178" s="14">
        <v>1107</v>
      </c>
      <c r="I178" s="1"/>
      <c r="J178" s="1"/>
      <c r="K178" s="1"/>
      <c r="L178" s="1"/>
      <c r="M178" s="1"/>
      <c r="N178" s="1"/>
      <c r="O178" s="1"/>
      <c r="P178" s="1"/>
      <c r="Q178" s="1"/>
      <c r="R178" s="15">
        <v>0.01</v>
      </c>
      <c r="S178" s="11">
        <f t="shared" si="0"/>
        <v>1513622.6300000001</v>
      </c>
      <c r="T178" s="1" t="str">
        <f t="shared" si="1"/>
        <v>NO</v>
      </c>
      <c r="U178" s="15">
        <v>0.75</v>
      </c>
      <c r="V178" s="11">
        <f t="shared" si="6"/>
        <v>1135216.9725000001</v>
      </c>
      <c r="W178" s="1" t="str">
        <f t="shared" si="7"/>
        <v>No</v>
      </c>
      <c r="X178" s="1"/>
      <c r="Y178" s="1"/>
      <c r="Z178" s="1"/>
      <c r="AA178" s="1"/>
    </row>
    <row r="179" spans="1:27" ht="14.4" x14ac:dyDescent="0.3">
      <c r="A179" s="1"/>
      <c r="B179" s="1"/>
      <c r="C179" s="1"/>
      <c r="D179" s="13">
        <v>22460</v>
      </c>
      <c r="E179" s="1" t="s">
        <v>154</v>
      </c>
      <c r="F179" s="14">
        <v>4367</v>
      </c>
      <c r="G179" s="14">
        <v>4894</v>
      </c>
      <c r="H179" s="14">
        <v>5455</v>
      </c>
      <c r="I179" s="14">
        <v>7558</v>
      </c>
      <c r="J179" s="14">
        <v>7937</v>
      </c>
      <c r="K179" s="14">
        <v>8776</v>
      </c>
      <c r="L179" s="14">
        <v>9594</v>
      </c>
      <c r="M179" s="14">
        <v>12801</v>
      </c>
      <c r="N179" s="14">
        <v>12943</v>
      </c>
      <c r="O179" s="14">
        <v>12671</v>
      </c>
      <c r="P179" s="14">
        <v>12552</v>
      </c>
      <c r="Q179" s="1"/>
      <c r="R179" s="15">
        <v>0.01</v>
      </c>
      <c r="S179" s="11">
        <f t="shared" si="0"/>
        <v>1513622.6300000001</v>
      </c>
      <c r="T179" s="1" t="str">
        <f t="shared" si="1"/>
        <v>NO</v>
      </c>
      <c r="U179" s="15">
        <v>0.75</v>
      </c>
      <c r="V179" s="11">
        <f t="shared" si="6"/>
        <v>1135216.9725000001</v>
      </c>
      <c r="W179" s="1" t="str">
        <f t="shared" si="7"/>
        <v>No</v>
      </c>
      <c r="X179" s="1"/>
      <c r="Y179" s="1"/>
      <c r="Z179" s="1"/>
      <c r="AA179" s="1"/>
    </row>
    <row r="180" spans="1:27" ht="14.4" x14ac:dyDescent="0.3">
      <c r="A180" s="1"/>
      <c r="B180" s="1"/>
      <c r="C180" s="1"/>
      <c r="D180" s="13">
        <v>22470</v>
      </c>
      <c r="E180" s="1" t="s">
        <v>155</v>
      </c>
      <c r="F180" s="1"/>
      <c r="G180" s="1"/>
      <c r="H180" s="14">
        <v>-5678</v>
      </c>
      <c r="I180" s="1"/>
      <c r="J180" s="1"/>
      <c r="K180" s="1"/>
      <c r="L180" s="1"/>
      <c r="M180" s="1"/>
      <c r="N180" s="1"/>
      <c r="O180" s="1"/>
      <c r="P180" s="1"/>
      <c r="Q180" s="1"/>
      <c r="R180" s="15">
        <v>0.01</v>
      </c>
      <c r="S180" s="11">
        <f t="shared" si="0"/>
        <v>1513622.6300000001</v>
      </c>
      <c r="T180" s="1" t="str">
        <f t="shared" si="1"/>
        <v>NO</v>
      </c>
      <c r="U180" s="15">
        <v>0.75</v>
      </c>
      <c r="V180" s="11">
        <f t="shared" si="6"/>
        <v>1135216.9725000001</v>
      </c>
      <c r="W180" s="1" t="str">
        <f t="shared" si="7"/>
        <v>No</v>
      </c>
      <c r="X180" s="1"/>
      <c r="Y180" s="1"/>
      <c r="Z180" s="1"/>
      <c r="AA180" s="1"/>
    </row>
    <row r="181" spans="1:27" ht="14.4" x14ac:dyDescent="0.3">
      <c r="A181" s="1"/>
      <c r="B181" s="1"/>
      <c r="C181" s="1"/>
      <c r="D181" s="13">
        <v>22510</v>
      </c>
      <c r="E181" s="1" t="s">
        <v>156</v>
      </c>
      <c r="F181" s="14">
        <v>4380</v>
      </c>
      <c r="G181" s="14">
        <v>2902</v>
      </c>
      <c r="H181" s="14">
        <v>1269</v>
      </c>
      <c r="I181" s="14">
        <v>2347</v>
      </c>
      <c r="J181" s="14">
        <v>3172</v>
      </c>
      <c r="K181" s="13">
        <v>-61</v>
      </c>
      <c r="L181" s="14">
        <v>1850</v>
      </c>
      <c r="M181" s="14">
        <v>1433</v>
      </c>
      <c r="N181" s="14">
        <v>1792</v>
      </c>
      <c r="O181" s="14">
        <v>1263</v>
      </c>
      <c r="P181" s="14">
        <v>-5066</v>
      </c>
      <c r="Q181" s="14">
        <v>-6959</v>
      </c>
      <c r="R181" s="15">
        <v>0.01</v>
      </c>
      <c r="S181" s="11">
        <f t="shared" si="0"/>
        <v>1513622.6300000001</v>
      </c>
      <c r="T181" s="1" t="str">
        <f t="shared" si="1"/>
        <v>NO</v>
      </c>
      <c r="U181" s="15">
        <v>0.75</v>
      </c>
      <c r="V181" s="11">
        <f t="shared" si="6"/>
        <v>1135216.9725000001</v>
      </c>
      <c r="W181" s="1" t="str">
        <f t="shared" si="7"/>
        <v>No</v>
      </c>
      <c r="X181" s="1"/>
      <c r="Y181" s="1"/>
      <c r="Z181" s="1"/>
      <c r="AA181" s="1"/>
    </row>
    <row r="182" spans="1:27" ht="14.4" x14ac:dyDescent="0.3">
      <c r="A182" s="1"/>
      <c r="B182" s="1"/>
      <c r="C182" s="1"/>
      <c r="D182" s="13">
        <v>22520</v>
      </c>
      <c r="E182" s="1" t="s">
        <v>157</v>
      </c>
      <c r="F182" s="14">
        <v>-10527</v>
      </c>
      <c r="G182" s="14">
        <v>-30800</v>
      </c>
      <c r="H182" s="14">
        <v>38711</v>
      </c>
      <c r="I182" s="14">
        <v>39994</v>
      </c>
      <c r="J182" s="14">
        <v>-86948</v>
      </c>
      <c r="K182" s="14">
        <v>40959</v>
      </c>
      <c r="L182" s="14">
        <v>-28564</v>
      </c>
      <c r="M182" s="14">
        <v>33214</v>
      </c>
      <c r="N182" s="14">
        <v>29438</v>
      </c>
      <c r="O182" s="14">
        <v>62890</v>
      </c>
      <c r="P182" s="14">
        <v>33789</v>
      </c>
      <c r="Q182" s="1"/>
      <c r="R182" s="15">
        <v>0.01</v>
      </c>
      <c r="S182" s="11">
        <f t="shared" si="0"/>
        <v>1513622.6300000001</v>
      </c>
      <c r="T182" s="1" t="str">
        <f t="shared" si="1"/>
        <v>NO</v>
      </c>
      <c r="U182" s="15">
        <v>0.75</v>
      </c>
      <c r="V182" s="11">
        <f t="shared" si="6"/>
        <v>1135216.9725000001</v>
      </c>
      <c r="W182" s="1" t="str">
        <f t="shared" si="7"/>
        <v>No</v>
      </c>
      <c r="X182" s="1"/>
      <c r="Y182" s="1"/>
      <c r="Z182" s="1"/>
      <c r="AA182" s="1"/>
    </row>
    <row r="183" spans="1:27" ht="14.4" x14ac:dyDescent="0.3">
      <c r="A183" s="1"/>
      <c r="B183" s="1"/>
      <c r="C183" s="1"/>
      <c r="D183" s="13">
        <v>22530</v>
      </c>
      <c r="E183" s="1" t="s">
        <v>158</v>
      </c>
      <c r="F183" s="14">
        <v>4495</v>
      </c>
      <c r="G183" s="14">
        <v>-5270</v>
      </c>
      <c r="H183" s="14">
        <v>-2058</v>
      </c>
      <c r="I183" s="14">
        <v>-3114</v>
      </c>
      <c r="J183" s="14">
        <v>-18331</v>
      </c>
      <c r="K183" s="14">
        <v>-2322</v>
      </c>
      <c r="L183" s="14">
        <v>-7361</v>
      </c>
      <c r="M183" s="14">
        <v>-2323</v>
      </c>
      <c r="N183" s="13">
        <v>216</v>
      </c>
      <c r="O183" s="14">
        <v>7773</v>
      </c>
      <c r="P183" s="14">
        <v>4977</v>
      </c>
      <c r="Q183" s="14">
        <v>5181</v>
      </c>
      <c r="R183" s="15">
        <v>0.01</v>
      </c>
      <c r="S183" s="11">
        <f t="shared" si="0"/>
        <v>1513622.6300000001</v>
      </c>
      <c r="T183" s="1" t="str">
        <f t="shared" si="1"/>
        <v>NO</v>
      </c>
      <c r="U183" s="15">
        <v>0.75</v>
      </c>
      <c r="V183" s="11">
        <f t="shared" si="6"/>
        <v>1135216.9725000001</v>
      </c>
      <c r="W183" s="1" t="str">
        <f t="shared" si="7"/>
        <v>No</v>
      </c>
      <c r="X183" s="1"/>
      <c r="Y183" s="1"/>
      <c r="Z183" s="1"/>
      <c r="AA183" s="1"/>
    </row>
    <row r="184" spans="1:27" ht="14.4" x14ac:dyDescent="0.3">
      <c r="A184" s="1"/>
      <c r="B184" s="1"/>
      <c r="C184" s="1"/>
      <c r="D184" s="13">
        <v>22560</v>
      </c>
      <c r="E184" s="1" t="s">
        <v>159</v>
      </c>
      <c r="F184" s="13">
        <v>35</v>
      </c>
      <c r="G184" s="13">
        <v>966</v>
      </c>
      <c r="H184" s="14">
        <v>-3585</v>
      </c>
      <c r="I184" s="14">
        <v>1322</v>
      </c>
      <c r="J184" s="14">
        <v>-3640</v>
      </c>
      <c r="K184" s="14">
        <v>-3934</v>
      </c>
      <c r="L184" s="14">
        <v>-5687</v>
      </c>
      <c r="M184" s="13">
        <v>-403</v>
      </c>
      <c r="N184" s="14">
        <v>4906</v>
      </c>
      <c r="O184" s="14">
        <v>6087</v>
      </c>
      <c r="P184" s="14">
        <v>-1885</v>
      </c>
      <c r="Q184" s="14">
        <v>9235</v>
      </c>
      <c r="R184" s="15">
        <v>0.01</v>
      </c>
      <c r="S184" s="11">
        <f t="shared" si="0"/>
        <v>1513622.6300000001</v>
      </c>
      <c r="T184" s="1" t="str">
        <f t="shared" si="1"/>
        <v>NO</v>
      </c>
      <c r="U184" s="15">
        <v>0.75</v>
      </c>
      <c r="V184" s="11">
        <f t="shared" si="6"/>
        <v>1135216.9725000001</v>
      </c>
      <c r="W184" s="1" t="str">
        <f t="shared" si="7"/>
        <v>No</v>
      </c>
      <c r="X184" s="1"/>
      <c r="Y184" s="1"/>
      <c r="Z184" s="1"/>
      <c r="AA184" s="1"/>
    </row>
    <row r="185" spans="1:27" ht="14.4" x14ac:dyDescent="0.3">
      <c r="A185" s="1"/>
      <c r="B185" s="1"/>
      <c r="C185" s="1"/>
      <c r="D185" s="13">
        <v>22570</v>
      </c>
      <c r="E185" s="1" t="s">
        <v>160</v>
      </c>
      <c r="F185" s="14">
        <v>-8438</v>
      </c>
      <c r="G185" s="14">
        <v>-13517</v>
      </c>
      <c r="H185" s="14">
        <v>-18553</v>
      </c>
      <c r="I185" s="14">
        <v>-23622</v>
      </c>
      <c r="J185" s="14">
        <v>-28733</v>
      </c>
      <c r="K185" s="14">
        <v>-32019</v>
      </c>
      <c r="L185" s="14">
        <v>-35305</v>
      </c>
      <c r="M185" s="14">
        <v>-38616</v>
      </c>
      <c r="N185" s="14">
        <v>13047</v>
      </c>
      <c r="O185" s="14">
        <v>-2318</v>
      </c>
      <c r="P185" s="14">
        <v>-5471</v>
      </c>
      <c r="Q185" s="14">
        <v>-8586</v>
      </c>
      <c r="R185" s="15">
        <v>0.01</v>
      </c>
      <c r="S185" s="11">
        <f t="shared" si="0"/>
        <v>1513622.6300000001</v>
      </c>
      <c r="T185" s="1" t="str">
        <f t="shared" si="1"/>
        <v>NO</v>
      </c>
      <c r="U185" s="15">
        <v>0.75</v>
      </c>
      <c r="V185" s="11">
        <f t="shared" si="6"/>
        <v>1135216.9725000001</v>
      </c>
      <c r="W185" s="1" t="str">
        <f t="shared" si="7"/>
        <v>No</v>
      </c>
      <c r="X185" s="1"/>
      <c r="Y185" s="1"/>
      <c r="Z185" s="1"/>
      <c r="AA185" s="1"/>
    </row>
    <row r="186" spans="1:27" ht="14.4" x14ac:dyDescent="0.3">
      <c r="A186" s="1"/>
      <c r="B186" s="1"/>
      <c r="C186" s="1"/>
      <c r="D186" s="13">
        <v>22580</v>
      </c>
      <c r="E186" s="1" t="s">
        <v>161</v>
      </c>
      <c r="F186" s="13">
        <v>-447</v>
      </c>
      <c r="G186" s="13">
        <v>-672</v>
      </c>
      <c r="H186" s="14">
        <v>-1959</v>
      </c>
      <c r="I186" s="14">
        <v>-2599</v>
      </c>
      <c r="J186" s="14">
        <v>7846</v>
      </c>
      <c r="K186" s="14">
        <v>7399</v>
      </c>
      <c r="L186" s="14">
        <v>-6208</v>
      </c>
      <c r="M186" s="14">
        <v>-20774</v>
      </c>
      <c r="N186" s="14">
        <v>-23227</v>
      </c>
      <c r="O186" s="14">
        <v>-27696</v>
      </c>
      <c r="P186" s="14">
        <v>-31484</v>
      </c>
      <c r="Q186" s="14">
        <v>-19779</v>
      </c>
      <c r="R186" s="15">
        <v>0.01</v>
      </c>
      <c r="S186" s="11">
        <f t="shared" si="0"/>
        <v>1513622.6300000001</v>
      </c>
      <c r="T186" s="1" t="str">
        <f t="shared" si="1"/>
        <v>NO</v>
      </c>
      <c r="U186" s="15">
        <v>0.75</v>
      </c>
      <c r="V186" s="11">
        <f t="shared" si="6"/>
        <v>1135216.9725000001</v>
      </c>
      <c r="W186" s="1" t="str">
        <f t="shared" si="7"/>
        <v>No</v>
      </c>
      <c r="X186" s="1"/>
      <c r="Y186" s="1"/>
      <c r="Z186" s="1"/>
      <c r="AA186" s="1"/>
    </row>
    <row r="187" spans="1:27" ht="14.4" x14ac:dyDescent="0.3">
      <c r="A187" s="1"/>
      <c r="B187" s="1"/>
      <c r="C187" s="1"/>
      <c r="D187" s="13">
        <v>22590</v>
      </c>
      <c r="E187" s="1" t="s">
        <v>162</v>
      </c>
      <c r="F187" s="14">
        <v>-1293</v>
      </c>
      <c r="G187" s="14">
        <v>-1939</v>
      </c>
      <c r="H187" s="14">
        <v>-2613</v>
      </c>
      <c r="I187" s="13">
        <v>-674</v>
      </c>
      <c r="J187" s="14">
        <v>-1347</v>
      </c>
      <c r="K187" s="14">
        <v>-1994</v>
      </c>
      <c r="L187" s="14">
        <v>-2640</v>
      </c>
      <c r="M187" s="13">
        <v>-528</v>
      </c>
      <c r="N187" s="14">
        <v>-1175</v>
      </c>
      <c r="O187" s="14">
        <v>-1661</v>
      </c>
      <c r="P187" s="14">
        <v>-2281</v>
      </c>
      <c r="Q187" s="1"/>
      <c r="R187" s="15">
        <v>0.01</v>
      </c>
      <c r="S187" s="11">
        <f t="shared" si="0"/>
        <v>1513622.6300000001</v>
      </c>
      <c r="T187" s="1" t="str">
        <f t="shared" si="1"/>
        <v>NO</v>
      </c>
      <c r="U187" s="15">
        <v>0.75</v>
      </c>
      <c r="V187" s="11">
        <f t="shared" si="6"/>
        <v>1135216.9725000001</v>
      </c>
      <c r="W187" s="1" t="str">
        <f t="shared" si="7"/>
        <v>No</v>
      </c>
      <c r="X187" s="1"/>
      <c r="Y187" s="1"/>
      <c r="Z187" s="1"/>
      <c r="AA187" s="1"/>
    </row>
    <row r="188" spans="1:27" ht="14.4" x14ac:dyDescent="0.3">
      <c r="A188" s="1"/>
      <c r="B188" s="1"/>
      <c r="C188" s="1"/>
      <c r="D188" s="13">
        <v>22600</v>
      </c>
      <c r="E188" s="1" t="s">
        <v>163</v>
      </c>
      <c r="F188" s="14">
        <v>-882355</v>
      </c>
      <c r="G188" s="14">
        <v>-923788</v>
      </c>
      <c r="H188" s="14">
        <v>-1270548</v>
      </c>
      <c r="I188" s="14">
        <v>-1323714</v>
      </c>
      <c r="J188" s="14">
        <v>-1076039</v>
      </c>
      <c r="K188" s="14">
        <v>-968241</v>
      </c>
      <c r="L188" s="14">
        <v>-1099224</v>
      </c>
      <c r="M188" s="14">
        <v>-1030852</v>
      </c>
      <c r="N188" s="14">
        <v>-1597873</v>
      </c>
      <c r="O188" s="14">
        <v>-1798116</v>
      </c>
      <c r="P188" s="14">
        <v>-1282542</v>
      </c>
      <c r="Q188" s="14">
        <v>-3373561</v>
      </c>
      <c r="R188" s="15">
        <v>0.01</v>
      </c>
      <c r="S188" s="11">
        <f t="shared" si="0"/>
        <v>1513622.6300000001</v>
      </c>
      <c r="T188" s="1" t="str">
        <f t="shared" si="1"/>
        <v>YES</v>
      </c>
      <c r="U188" s="15">
        <v>0.75</v>
      </c>
      <c r="V188" s="11">
        <f t="shared" si="6"/>
        <v>1135216.9725000001</v>
      </c>
      <c r="W188" s="1" t="str">
        <f t="shared" si="7"/>
        <v>Yes</v>
      </c>
      <c r="X188" s="1"/>
      <c r="Y188" s="1"/>
      <c r="Z188" s="1"/>
      <c r="AA188" s="1"/>
    </row>
    <row r="189" spans="1:27" ht="14.4" x14ac:dyDescent="0.3">
      <c r="A189" s="1"/>
      <c r="B189" s="1"/>
      <c r="C189" s="1"/>
      <c r="D189" s="13">
        <v>22601</v>
      </c>
      <c r="E189" s="1" t="s">
        <v>164</v>
      </c>
      <c r="F189" s="14">
        <v>-626496</v>
      </c>
      <c r="G189" s="14">
        <v>-739643</v>
      </c>
      <c r="H189" s="14">
        <v>80770</v>
      </c>
      <c r="I189" s="14">
        <v>88520</v>
      </c>
      <c r="J189" s="14">
        <v>47340</v>
      </c>
      <c r="K189" s="14">
        <v>184777</v>
      </c>
      <c r="L189" s="14">
        <v>96274</v>
      </c>
      <c r="M189" s="14">
        <v>-35779</v>
      </c>
      <c r="N189" s="14">
        <v>-127959</v>
      </c>
      <c r="O189" s="14">
        <v>-185619</v>
      </c>
      <c r="P189" s="14">
        <v>-217508</v>
      </c>
      <c r="Q189" s="14">
        <v>462690</v>
      </c>
      <c r="R189" s="15">
        <v>0.01</v>
      </c>
      <c r="S189" s="11">
        <f t="shared" si="0"/>
        <v>1513622.6300000001</v>
      </c>
      <c r="T189" s="1" t="str">
        <f t="shared" si="1"/>
        <v>NO</v>
      </c>
      <c r="U189" s="15">
        <v>0.75</v>
      </c>
      <c r="V189" s="11">
        <f t="shared" si="6"/>
        <v>1135216.9725000001</v>
      </c>
      <c r="W189" s="1" t="str">
        <f t="shared" si="7"/>
        <v>No</v>
      </c>
      <c r="X189" s="1"/>
      <c r="Y189" s="1"/>
      <c r="Z189" s="1"/>
      <c r="AA189" s="1"/>
    </row>
    <row r="190" spans="1:27" ht="14.4" x14ac:dyDescent="0.3">
      <c r="A190" s="1"/>
      <c r="B190" s="1"/>
      <c r="C190" s="1"/>
      <c r="D190" s="13">
        <v>22602</v>
      </c>
      <c r="E190" s="1" t="s">
        <v>165</v>
      </c>
      <c r="F190" s="14">
        <v>37241</v>
      </c>
      <c r="G190" s="14">
        <v>37466</v>
      </c>
      <c r="H190" s="14">
        <v>39131</v>
      </c>
      <c r="I190" s="14">
        <v>42771</v>
      </c>
      <c r="J190" s="14">
        <v>42457</v>
      </c>
      <c r="K190" s="14">
        <v>41951</v>
      </c>
      <c r="L190" s="14">
        <v>42859</v>
      </c>
      <c r="M190" s="14">
        <v>42960</v>
      </c>
      <c r="N190" s="14">
        <v>45116</v>
      </c>
      <c r="O190" s="14">
        <v>43763</v>
      </c>
      <c r="P190" s="14">
        <v>52626</v>
      </c>
      <c r="Q190" s="14">
        <v>34038</v>
      </c>
      <c r="R190" s="15">
        <v>0.01</v>
      </c>
      <c r="S190" s="11">
        <f t="shared" si="0"/>
        <v>1513622.6300000001</v>
      </c>
      <c r="T190" s="1" t="str">
        <f t="shared" si="1"/>
        <v>NO</v>
      </c>
      <c r="U190" s="15">
        <v>0.75</v>
      </c>
      <c r="V190" s="11">
        <f t="shared" si="6"/>
        <v>1135216.9725000001</v>
      </c>
      <c r="W190" s="1" t="str">
        <f t="shared" si="7"/>
        <v>No</v>
      </c>
      <c r="X190" s="1"/>
      <c r="Y190" s="1"/>
      <c r="Z190" s="1"/>
      <c r="AA190" s="1"/>
    </row>
    <row r="191" spans="1:27" ht="14.4" x14ac:dyDescent="0.3">
      <c r="A191" s="1"/>
      <c r="B191" s="1"/>
      <c r="C191" s="1"/>
      <c r="D191" s="13">
        <v>22610</v>
      </c>
      <c r="E191" s="1" t="s">
        <v>166</v>
      </c>
      <c r="F191" s="14">
        <v>-380391</v>
      </c>
      <c r="G191" s="14">
        <v>-470672</v>
      </c>
      <c r="H191" s="14">
        <v>-591091</v>
      </c>
      <c r="I191" s="14">
        <v>-703664</v>
      </c>
      <c r="J191" s="14">
        <v>-822712</v>
      </c>
      <c r="K191" s="14">
        <v>-665766</v>
      </c>
      <c r="L191" s="14">
        <v>-495721</v>
      </c>
      <c r="M191" s="14">
        <v>-643857</v>
      </c>
      <c r="N191" s="14">
        <v>-981088</v>
      </c>
      <c r="O191" s="14">
        <v>-1318149</v>
      </c>
      <c r="P191" s="14">
        <v>-1118454</v>
      </c>
      <c r="Q191" s="14">
        <v>-1684170</v>
      </c>
      <c r="R191" s="15">
        <v>0.01</v>
      </c>
      <c r="S191" s="11">
        <f t="shared" si="0"/>
        <v>1513622.6300000001</v>
      </c>
      <c r="T191" s="1" t="str">
        <f t="shared" si="1"/>
        <v>YES</v>
      </c>
      <c r="U191" s="15">
        <v>0.75</v>
      </c>
      <c r="V191" s="11">
        <f t="shared" si="6"/>
        <v>1135216.9725000001</v>
      </c>
      <c r="W191" s="1" t="str">
        <f t="shared" si="7"/>
        <v>Yes</v>
      </c>
      <c r="X191" s="1"/>
      <c r="Y191" s="1"/>
      <c r="Z191" s="1"/>
      <c r="AA191" s="1"/>
    </row>
    <row r="192" spans="1:27" ht="14.4" x14ac:dyDescent="0.3">
      <c r="A192" s="1"/>
      <c r="B192" s="1"/>
      <c r="C192" s="1"/>
      <c r="D192" s="13">
        <v>22620</v>
      </c>
      <c r="E192" s="1" t="s">
        <v>167</v>
      </c>
      <c r="F192" s="13">
        <v>-108</v>
      </c>
      <c r="G192" s="13">
        <v>-106</v>
      </c>
      <c r="H192" s="13">
        <v>-111</v>
      </c>
      <c r="I192" s="13">
        <v>-113</v>
      </c>
      <c r="J192" s="13">
        <v>-108</v>
      </c>
      <c r="K192" s="13">
        <v>-104</v>
      </c>
      <c r="L192" s="13">
        <v>-107</v>
      </c>
      <c r="M192" s="13">
        <v>-103</v>
      </c>
      <c r="N192" s="13">
        <v>-105</v>
      </c>
      <c r="O192" s="13">
        <v>-106</v>
      </c>
      <c r="P192" s="13">
        <v>-105</v>
      </c>
      <c r="Q192" s="13">
        <v>-105</v>
      </c>
      <c r="R192" s="15">
        <v>0.01</v>
      </c>
      <c r="S192" s="11">
        <f t="shared" si="0"/>
        <v>1513622.6300000001</v>
      </c>
      <c r="T192" s="1" t="str">
        <f t="shared" si="1"/>
        <v>NO</v>
      </c>
      <c r="U192" s="15">
        <v>0.75</v>
      </c>
      <c r="V192" s="11">
        <f t="shared" si="6"/>
        <v>1135216.9725000001</v>
      </c>
      <c r="W192" s="1" t="str">
        <f t="shared" si="7"/>
        <v>No</v>
      </c>
      <c r="X192" s="1"/>
      <c r="Y192" s="1"/>
      <c r="Z192" s="1"/>
      <c r="AA192" s="1"/>
    </row>
    <row r="193" spans="1:27" ht="14.4" x14ac:dyDescent="0.3">
      <c r="A193" s="1"/>
      <c r="B193" s="1"/>
      <c r="C193" s="1"/>
      <c r="D193" s="13">
        <v>22640</v>
      </c>
      <c r="E193" s="1" t="s">
        <v>168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4">
        <v>-9833333</v>
      </c>
      <c r="R193" s="15">
        <v>0.01</v>
      </c>
      <c r="S193" s="11">
        <f t="shared" si="0"/>
        <v>1513622.6300000001</v>
      </c>
      <c r="T193" s="1" t="str">
        <f t="shared" si="1"/>
        <v>YES</v>
      </c>
      <c r="U193" s="15">
        <v>0.75</v>
      </c>
      <c r="V193" s="11">
        <f t="shared" si="6"/>
        <v>1135216.9725000001</v>
      </c>
      <c r="W193" s="1" t="str">
        <f t="shared" si="7"/>
        <v>Yes</v>
      </c>
      <c r="X193" s="1"/>
      <c r="Y193" s="1"/>
      <c r="Z193" s="1"/>
      <c r="AA193" s="1"/>
    </row>
    <row r="194" spans="1:27" ht="14.4" x14ac:dyDescent="0.3">
      <c r="A194" s="1"/>
      <c r="B194" s="1"/>
      <c r="C194" s="1"/>
      <c r="D194" s="13">
        <v>22710</v>
      </c>
      <c r="E194" s="1" t="s">
        <v>169</v>
      </c>
      <c r="F194" s="14">
        <v>-10671611</v>
      </c>
      <c r="G194" s="14">
        <v>-14864184</v>
      </c>
      <c r="H194" s="14">
        <v>-20044369</v>
      </c>
      <c r="I194" s="14">
        <v>-22031127</v>
      </c>
      <c r="J194" s="14">
        <v>-26542386</v>
      </c>
      <c r="K194" s="14">
        <v>-17772375</v>
      </c>
      <c r="L194" s="14">
        <v>-22209930</v>
      </c>
      <c r="M194" s="14">
        <v>-26918948</v>
      </c>
      <c r="N194" s="14">
        <v>-20923646</v>
      </c>
      <c r="O194" s="14">
        <v>-25687046</v>
      </c>
      <c r="P194" s="14">
        <v>-24370559</v>
      </c>
      <c r="Q194" s="14">
        <v>5095457</v>
      </c>
      <c r="R194" s="15">
        <v>0.01</v>
      </c>
      <c r="S194" s="11">
        <f t="shared" si="0"/>
        <v>1513622.6300000001</v>
      </c>
      <c r="T194" s="1" t="str">
        <f t="shared" si="1"/>
        <v>YES</v>
      </c>
      <c r="U194" s="15">
        <v>0.75</v>
      </c>
      <c r="V194" s="11">
        <f t="shared" si="6"/>
        <v>1135216.9725000001</v>
      </c>
      <c r="W194" s="1" t="str">
        <f t="shared" si="7"/>
        <v>Yes</v>
      </c>
      <c r="X194" s="1"/>
      <c r="Y194" s="1"/>
      <c r="Z194" s="1"/>
      <c r="AA194" s="1"/>
    </row>
    <row r="195" spans="1:27" ht="14.4" x14ac:dyDescent="0.3">
      <c r="A195" s="1"/>
      <c r="B195" s="1"/>
      <c r="C195" s="1"/>
      <c r="D195" s="13">
        <v>22720</v>
      </c>
      <c r="E195" s="1" t="s">
        <v>170</v>
      </c>
      <c r="F195" s="14">
        <v>2791681</v>
      </c>
      <c r="G195" s="14">
        <v>2647239</v>
      </c>
      <c r="H195" s="14">
        <v>3230516</v>
      </c>
      <c r="I195" s="14">
        <v>3187119</v>
      </c>
      <c r="J195" s="14">
        <v>5141949</v>
      </c>
      <c r="K195" s="14">
        <v>5037299</v>
      </c>
      <c r="L195" s="14">
        <v>5151807</v>
      </c>
      <c r="M195" s="14">
        <v>5329554</v>
      </c>
      <c r="N195" s="14">
        <v>5439495</v>
      </c>
      <c r="O195" s="14">
        <v>5473174</v>
      </c>
      <c r="P195" s="14">
        <v>5884351</v>
      </c>
      <c r="Q195" s="14">
        <v>4799317</v>
      </c>
      <c r="R195" s="15">
        <v>0.01</v>
      </c>
      <c r="S195" s="11">
        <f t="shared" si="0"/>
        <v>1513622.6300000001</v>
      </c>
      <c r="T195" s="1" t="str">
        <f t="shared" si="1"/>
        <v>YES</v>
      </c>
      <c r="U195" s="15">
        <v>0.75</v>
      </c>
      <c r="V195" s="11">
        <f t="shared" si="6"/>
        <v>1135216.9725000001</v>
      </c>
      <c r="W195" s="1" t="str">
        <f t="shared" si="7"/>
        <v>Yes</v>
      </c>
      <c r="X195" s="1"/>
      <c r="Y195" s="1"/>
      <c r="Z195" s="1"/>
      <c r="AA195" s="1"/>
    </row>
    <row r="196" spans="1:27" ht="14.4" x14ac:dyDescent="0.3">
      <c r="A196" s="1"/>
      <c r="B196" s="1"/>
      <c r="C196" s="1"/>
      <c r="D196" s="13">
        <v>22820</v>
      </c>
      <c r="E196" s="1" t="s">
        <v>171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4">
        <v>-3250000</v>
      </c>
      <c r="R196" s="15">
        <v>0.01</v>
      </c>
      <c r="S196" s="11">
        <f t="shared" si="0"/>
        <v>1513622.6300000001</v>
      </c>
      <c r="T196" s="1" t="str">
        <f t="shared" si="1"/>
        <v>YES</v>
      </c>
      <c r="U196" s="15">
        <v>0.75</v>
      </c>
      <c r="V196" s="11">
        <f t="shared" si="6"/>
        <v>1135216.9725000001</v>
      </c>
      <c r="W196" s="1" t="str">
        <f t="shared" si="7"/>
        <v>Yes</v>
      </c>
      <c r="X196" s="1"/>
      <c r="Y196" s="1"/>
      <c r="Z196" s="1"/>
      <c r="AA196" s="1"/>
    </row>
    <row r="197" spans="1:27" ht="14.4" x14ac:dyDescent="0.3">
      <c r="A197" s="1"/>
      <c r="B197" s="1"/>
      <c r="C197" s="1"/>
      <c r="D197" s="13">
        <v>22821</v>
      </c>
      <c r="E197" s="1" t="s">
        <v>171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4">
        <v>-8850000</v>
      </c>
      <c r="R197" s="15">
        <v>0.01</v>
      </c>
      <c r="S197" s="11">
        <f t="shared" si="0"/>
        <v>1513622.6300000001</v>
      </c>
      <c r="T197" s="1" t="str">
        <f t="shared" si="1"/>
        <v>YES</v>
      </c>
      <c r="U197" s="15">
        <v>0.75</v>
      </c>
      <c r="V197" s="11">
        <f t="shared" si="6"/>
        <v>1135216.9725000001</v>
      </c>
      <c r="W197" s="1" t="str">
        <f t="shared" si="7"/>
        <v>Yes</v>
      </c>
      <c r="X197" s="1"/>
      <c r="Y197" s="1"/>
      <c r="Z197" s="1"/>
      <c r="AA197" s="1"/>
    </row>
    <row r="198" spans="1:27" ht="14.4" x14ac:dyDescent="0.3">
      <c r="A198" s="1"/>
      <c r="B198" s="1"/>
      <c r="C198" s="1"/>
      <c r="D198" s="13">
        <v>22837</v>
      </c>
      <c r="E198" s="1" t="s">
        <v>171</v>
      </c>
      <c r="F198" s="14">
        <v>-73103</v>
      </c>
      <c r="G198" s="14">
        <v>-73103</v>
      </c>
      <c r="H198" s="14">
        <v>-73103</v>
      </c>
      <c r="I198" s="14">
        <v>-73103</v>
      </c>
      <c r="J198" s="14">
        <v>-73103</v>
      </c>
      <c r="K198" s="14">
        <v>-73103</v>
      </c>
      <c r="L198" s="14">
        <v>-73103</v>
      </c>
      <c r="M198" s="14">
        <v>-73103</v>
      </c>
      <c r="N198" s="14">
        <v>-73103</v>
      </c>
      <c r="O198" s="14">
        <v>-73103</v>
      </c>
      <c r="P198" s="14">
        <v>-73103</v>
      </c>
      <c r="Q198" s="14">
        <v>-73103</v>
      </c>
      <c r="R198" s="15">
        <v>0.01</v>
      </c>
      <c r="S198" s="11">
        <f t="shared" si="0"/>
        <v>1513622.6300000001</v>
      </c>
      <c r="T198" s="1" t="str">
        <f t="shared" si="1"/>
        <v>NO</v>
      </c>
      <c r="U198" s="15">
        <v>0.75</v>
      </c>
      <c r="V198" s="11">
        <f t="shared" si="6"/>
        <v>1135216.9725000001</v>
      </c>
      <c r="W198" s="1" t="str">
        <f t="shared" si="7"/>
        <v>No</v>
      </c>
      <c r="X198" s="1"/>
      <c r="Y198" s="1"/>
      <c r="Z198" s="1"/>
      <c r="AA198" s="1"/>
    </row>
    <row r="199" spans="1:27" ht="14.4" x14ac:dyDescent="0.3">
      <c r="A199" s="1"/>
      <c r="B199" s="1"/>
      <c r="C199" s="1"/>
      <c r="D199" s="13">
        <v>22840</v>
      </c>
      <c r="E199" s="1" t="s">
        <v>171</v>
      </c>
      <c r="F199" s="14">
        <v>-2431110</v>
      </c>
      <c r="G199" s="14">
        <v>-2431110</v>
      </c>
      <c r="H199" s="14">
        <v>-2431110</v>
      </c>
      <c r="I199" s="14">
        <v>-2431110</v>
      </c>
      <c r="J199" s="14">
        <v>-2431110</v>
      </c>
      <c r="K199" s="14">
        <v>-2431110</v>
      </c>
      <c r="L199" s="14">
        <v>-2431110</v>
      </c>
      <c r="M199" s="14">
        <v>-2431110</v>
      </c>
      <c r="N199" s="14">
        <v>-2431110</v>
      </c>
      <c r="O199" s="14">
        <v>-2431110</v>
      </c>
      <c r="P199" s="14">
        <v>-2431110</v>
      </c>
      <c r="Q199" s="14">
        <v>-3513911</v>
      </c>
      <c r="R199" s="15">
        <v>0.01</v>
      </c>
      <c r="S199" s="11">
        <f t="shared" si="0"/>
        <v>1513622.6300000001</v>
      </c>
      <c r="T199" s="1" t="str">
        <f t="shared" si="1"/>
        <v>YES</v>
      </c>
      <c r="U199" s="15">
        <v>0.75</v>
      </c>
      <c r="V199" s="11">
        <f t="shared" si="6"/>
        <v>1135216.9725000001</v>
      </c>
      <c r="W199" s="1" t="str">
        <f t="shared" si="7"/>
        <v>Yes</v>
      </c>
      <c r="X199" s="1"/>
      <c r="Y199" s="1"/>
      <c r="Z199" s="1"/>
      <c r="AA199" s="1"/>
    </row>
    <row r="200" spans="1:27" ht="14.4" x14ac:dyDescent="0.3">
      <c r="A200" s="1"/>
      <c r="B200" s="1"/>
      <c r="C200" s="1"/>
      <c r="D200" s="13">
        <v>22965</v>
      </c>
      <c r="E200" s="1" t="s">
        <v>172</v>
      </c>
      <c r="F200" s="1"/>
      <c r="G200" s="1"/>
      <c r="H200" s="1"/>
      <c r="I200" s="14">
        <v>-733234</v>
      </c>
      <c r="J200" s="14">
        <v>-723105</v>
      </c>
      <c r="K200" s="14">
        <v>-724267</v>
      </c>
      <c r="L200" s="14">
        <v>-740083</v>
      </c>
      <c r="M200" s="14">
        <v>-1097408</v>
      </c>
      <c r="N200" s="14">
        <v>-1121510</v>
      </c>
      <c r="O200" s="1"/>
      <c r="P200" s="1"/>
      <c r="Q200" s="1"/>
      <c r="R200" s="15">
        <v>0.01</v>
      </c>
      <c r="S200" s="11">
        <f t="shared" si="0"/>
        <v>1513622.6300000001</v>
      </c>
      <c r="T200" s="1" t="str">
        <f t="shared" si="1"/>
        <v>NO</v>
      </c>
      <c r="U200" s="15">
        <v>0.75</v>
      </c>
      <c r="V200" s="11">
        <f t="shared" si="6"/>
        <v>1135216.9725000001</v>
      </c>
      <c r="W200" s="1" t="str">
        <f t="shared" si="7"/>
        <v>No</v>
      </c>
      <c r="X200" s="1"/>
      <c r="Y200" s="1"/>
      <c r="Z200" s="1"/>
      <c r="AA200" s="1"/>
    </row>
    <row r="201" spans="1:27" ht="14.4" x14ac:dyDescent="0.3">
      <c r="A201" s="1"/>
      <c r="B201" s="1"/>
      <c r="C201" s="1"/>
      <c r="D201" s="13">
        <v>23100</v>
      </c>
      <c r="E201" s="1" t="s">
        <v>173</v>
      </c>
      <c r="F201" s="14">
        <v>-830005</v>
      </c>
      <c r="G201" s="14">
        <v>-830005</v>
      </c>
      <c r="H201" s="14">
        <v>-899184</v>
      </c>
      <c r="I201" s="14">
        <v>-25899184</v>
      </c>
      <c r="J201" s="14">
        <v>-899184</v>
      </c>
      <c r="K201" s="14">
        <v>-50899184</v>
      </c>
      <c r="L201" s="14">
        <v>-32899184</v>
      </c>
      <c r="M201" s="14">
        <v>-27835436</v>
      </c>
      <c r="N201" s="14">
        <v>-46294843</v>
      </c>
      <c r="O201" s="14">
        <v>-36294843</v>
      </c>
      <c r="P201" s="14">
        <v>-31294843</v>
      </c>
      <c r="Q201" s="14">
        <v>-42648991</v>
      </c>
      <c r="R201" s="15">
        <v>0.01</v>
      </c>
      <c r="S201" s="11">
        <f t="shared" si="0"/>
        <v>1513622.6300000001</v>
      </c>
      <c r="T201" s="1" t="str">
        <f t="shared" si="1"/>
        <v>YES</v>
      </c>
      <c r="U201" s="15">
        <v>0.75</v>
      </c>
      <c r="V201" s="11">
        <f t="shared" si="6"/>
        <v>1135216.9725000001</v>
      </c>
      <c r="W201" s="1" t="str">
        <f t="shared" si="7"/>
        <v>Yes</v>
      </c>
      <c r="X201" s="1"/>
      <c r="Y201" s="1"/>
      <c r="Z201" s="1"/>
      <c r="AA201" s="1"/>
    </row>
    <row r="202" spans="1:27" ht="14.4" x14ac:dyDescent="0.3">
      <c r="A202" s="1"/>
      <c r="B202" s="1"/>
      <c r="C202" s="1"/>
      <c r="D202" s="13">
        <v>23120</v>
      </c>
      <c r="E202" s="1" t="s">
        <v>174</v>
      </c>
      <c r="F202" s="14">
        <v>-815000000</v>
      </c>
      <c r="G202" s="14">
        <v>-815000000</v>
      </c>
      <c r="H202" s="14">
        <v>-815000000</v>
      </c>
      <c r="I202" s="14">
        <v>-815000000</v>
      </c>
      <c r="J202" s="14">
        <v>-815000000</v>
      </c>
      <c r="K202" s="14">
        <v>-837885000</v>
      </c>
      <c r="L202" s="14">
        <v>-837885000</v>
      </c>
      <c r="M202" s="14">
        <v>-837885000</v>
      </c>
      <c r="N202" s="14">
        <v>-323375000</v>
      </c>
      <c r="O202" s="14">
        <v>-323375000</v>
      </c>
      <c r="P202" s="14">
        <v>-323375000</v>
      </c>
      <c r="Q202" s="14">
        <v>-319463663</v>
      </c>
      <c r="R202" s="15">
        <v>0.01</v>
      </c>
      <c r="S202" s="11">
        <f t="shared" si="0"/>
        <v>1513622.6300000001</v>
      </c>
      <c r="T202" s="1" t="str">
        <f t="shared" si="1"/>
        <v>YES</v>
      </c>
      <c r="U202" s="15">
        <v>0.75</v>
      </c>
      <c r="V202" s="11">
        <f t="shared" si="6"/>
        <v>1135216.9725000001</v>
      </c>
      <c r="W202" s="1" t="str">
        <f t="shared" si="7"/>
        <v>Yes</v>
      </c>
      <c r="X202" s="1"/>
      <c r="Y202" s="1"/>
      <c r="Z202" s="1"/>
      <c r="AA202" s="1"/>
    </row>
    <row r="203" spans="1:27" ht="14.4" x14ac:dyDescent="0.3">
      <c r="A203" s="1"/>
      <c r="B203" s="1"/>
      <c r="C203" s="1"/>
      <c r="D203" s="13">
        <v>23121</v>
      </c>
      <c r="E203" s="1" t="s">
        <v>174</v>
      </c>
      <c r="F203" s="1"/>
      <c r="G203" s="1"/>
      <c r="H203" s="1"/>
      <c r="I203" s="1"/>
      <c r="J203" s="1"/>
      <c r="K203" s="1"/>
      <c r="L203" s="1"/>
      <c r="M203" s="1"/>
      <c r="N203" s="14">
        <v>-880575000</v>
      </c>
      <c r="O203" s="14">
        <v>-880575000</v>
      </c>
      <c r="P203" s="14">
        <v>-880575000</v>
      </c>
      <c r="Q203" s="14">
        <v>-869754966</v>
      </c>
      <c r="R203" s="15">
        <v>0.01</v>
      </c>
      <c r="S203" s="11">
        <f t="shared" si="0"/>
        <v>1513622.6300000001</v>
      </c>
      <c r="T203" s="1" t="str">
        <f t="shared" si="1"/>
        <v>YES</v>
      </c>
      <c r="U203" s="15">
        <v>0.75</v>
      </c>
      <c r="V203" s="11">
        <f t="shared" si="6"/>
        <v>1135216.9725000001</v>
      </c>
      <c r="W203" s="1" t="str">
        <f t="shared" si="7"/>
        <v>Yes</v>
      </c>
      <c r="X203" s="1"/>
      <c r="Y203" s="1"/>
      <c r="Z203" s="1"/>
      <c r="AA203" s="1"/>
    </row>
    <row r="204" spans="1:27" ht="14.4" x14ac:dyDescent="0.3">
      <c r="A204" s="1"/>
      <c r="B204" s="1"/>
      <c r="C204" s="1"/>
      <c r="D204" s="13">
        <v>23127</v>
      </c>
      <c r="E204" s="1" t="s">
        <v>175</v>
      </c>
      <c r="F204" s="14">
        <v>-10000000</v>
      </c>
      <c r="G204" s="14">
        <v>-10000000</v>
      </c>
      <c r="H204" s="14">
        <v>-10000000</v>
      </c>
      <c r="I204" s="14">
        <v>-10000000</v>
      </c>
      <c r="J204" s="14">
        <v>-10000000</v>
      </c>
      <c r="K204" s="14">
        <v>-10000000</v>
      </c>
      <c r="L204" s="14">
        <v>-10000000</v>
      </c>
      <c r="M204" s="14">
        <v>-10000000</v>
      </c>
      <c r="N204" s="14">
        <v>-10000000</v>
      </c>
      <c r="O204" s="14">
        <v>-10000000</v>
      </c>
      <c r="P204" s="14">
        <v>-10000000</v>
      </c>
      <c r="Q204" s="14">
        <v>-10000000</v>
      </c>
      <c r="R204" s="15">
        <v>0.01</v>
      </c>
      <c r="S204" s="11">
        <f t="shared" si="0"/>
        <v>1513622.6300000001</v>
      </c>
      <c r="T204" s="1" t="str">
        <f t="shared" si="1"/>
        <v>YES</v>
      </c>
      <c r="U204" s="15">
        <v>0.75</v>
      </c>
      <c r="V204" s="11">
        <f t="shared" si="6"/>
        <v>1135216.9725000001</v>
      </c>
      <c r="W204" s="1" t="str">
        <f t="shared" si="7"/>
        <v>Yes</v>
      </c>
      <c r="X204" s="1"/>
      <c r="Y204" s="1"/>
      <c r="Z204" s="1"/>
      <c r="AA204" s="1"/>
    </row>
    <row r="205" spans="1:27" ht="14.4" x14ac:dyDescent="0.3">
      <c r="A205" s="1"/>
      <c r="B205" s="1"/>
      <c r="C205" s="1"/>
      <c r="D205" s="13">
        <v>23137</v>
      </c>
      <c r="E205" s="1" t="s">
        <v>176</v>
      </c>
      <c r="F205" s="14">
        <v>-126006</v>
      </c>
      <c r="G205" s="14">
        <v>-126006</v>
      </c>
      <c r="H205" s="14">
        <v>-52903</v>
      </c>
      <c r="I205" s="14">
        <v>-52903</v>
      </c>
      <c r="J205" s="14">
        <v>-52903</v>
      </c>
      <c r="K205" s="14">
        <v>-52903</v>
      </c>
      <c r="L205" s="14">
        <v>-52903</v>
      </c>
      <c r="M205" s="14">
        <v>-52903</v>
      </c>
      <c r="N205" s="14">
        <v>-52903</v>
      </c>
      <c r="O205" s="14">
        <v>-52903</v>
      </c>
      <c r="P205" s="14">
        <v>-52903</v>
      </c>
      <c r="Q205" s="14">
        <v>-52903</v>
      </c>
      <c r="R205" s="15">
        <v>0.01</v>
      </c>
      <c r="S205" s="11">
        <f t="shared" si="0"/>
        <v>1513622.6300000001</v>
      </c>
      <c r="T205" s="1" t="str">
        <f t="shared" si="1"/>
        <v>NO</v>
      </c>
      <c r="U205" s="15">
        <v>0.75</v>
      </c>
      <c r="V205" s="11">
        <f t="shared" si="6"/>
        <v>1135216.9725000001</v>
      </c>
      <c r="W205" s="1" t="str">
        <f t="shared" si="7"/>
        <v>No</v>
      </c>
      <c r="X205" s="1"/>
      <c r="Y205" s="1"/>
      <c r="Z205" s="1"/>
      <c r="AA205" s="1"/>
    </row>
    <row r="206" spans="1:27" ht="14.4" x14ac:dyDescent="0.3">
      <c r="A206" s="1"/>
      <c r="B206" s="1"/>
      <c r="C206" s="1"/>
      <c r="D206" s="13">
        <v>23140</v>
      </c>
      <c r="E206" s="1" t="s">
        <v>177</v>
      </c>
      <c r="F206" s="14">
        <v>-2785561</v>
      </c>
      <c r="G206" s="14">
        <v>-2851208</v>
      </c>
      <c r="H206" s="14">
        <v>-3737668</v>
      </c>
      <c r="I206" s="14">
        <v>-3472157</v>
      </c>
      <c r="J206" s="14">
        <v>-4066546</v>
      </c>
      <c r="K206" s="14">
        <v>-4668473</v>
      </c>
      <c r="L206" s="14">
        <v>-5069482</v>
      </c>
      <c r="M206" s="14">
        <v>-5647247</v>
      </c>
      <c r="N206" s="14">
        <v>-5738881</v>
      </c>
      <c r="O206" s="14">
        <v>-5433757</v>
      </c>
      <c r="P206" s="14">
        <v>-5131206</v>
      </c>
      <c r="Q206" s="14">
        <v>-4537802</v>
      </c>
      <c r="R206" s="15">
        <v>0.01</v>
      </c>
      <c r="S206" s="11">
        <f t="shared" si="0"/>
        <v>1513622.6300000001</v>
      </c>
      <c r="T206" s="1" t="str">
        <f t="shared" si="1"/>
        <v>YES</v>
      </c>
      <c r="U206" s="15">
        <v>0.75</v>
      </c>
      <c r="V206" s="11">
        <f t="shared" ref="V206:V269" si="8">S206*U206</f>
        <v>1135216.9725000001</v>
      </c>
      <c r="W206" s="1" t="str">
        <f t="shared" ref="W206:W269" si="9">IF(ABS(Q206)&gt;V206,"Yes","No")</f>
        <v>Yes</v>
      </c>
      <c r="X206" s="1"/>
      <c r="Y206" s="1"/>
      <c r="Z206" s="1"/>
      <c r="AA206" s="1"/>
    </row>
    <row r="207" spans="1:27" ht="14.4" x14ac:dyDescent="0.3">
      <c r="A207" s="1"/>
      <c r="B207" s="1"/>
      <c r="C207" s="1"/>
      <c r="D207" s="13">
        <v>23160</v>
      </c>
      <c r="E207" s="1" t="s">
        <v>178</v>
      </c>
      <c r="F207" s="14">
        <v>-39401134</v>
      </c>
      <c r="G207" s="14">
        <v>-39395917</v>
      </c>
      <c r="H207" s="14">
        <v>-39393414</v>
      </c>
      <c r="I207" s="14">
        <v>-37896882</v>
      </c>
      <c r="J207" s="14">
        <v>-37894968</v>
      </c>
      <c r="K207" s="14">
        <v>-37895187</v>
      </c>
      <c r="L207" s="14">
        <v>-37898177</v>
      </c>
      <c r="M207" s="14">
        <v>-37897109</v>
      </c>
      <c r="N207" s="14">
        <v>-37900648</v>
      </c>
      <c r="O207" s="14">
        <v>-37901315</v>
      </c>
      <c r="P207" s="14">
        <v>-37901393</v>
      </c>
      <c r="Q207" s="14">
        <v>-50898097</v>
      </c>
      <c r="R207" s="15">
        <v>0.01</v>
      </c>
      <c r="S207" s="11">
        <f t="shared" si="0"/>
        <v>1513622.6300000001</v>
      </c>
      <c r="T207" s="1" t="str">
        <f t="shared" si="1"/>
        <v>YES</v>
      </c>
      <c r="U207" s="15">
        <v>0.75</v>
      </c>
      <c r="V207" s="11">
        <f t="shared" si="8"/>
        <v>1135216.9725000001</v>
      </c>
      <c r="W207" s="1" t="str">
        <f t="shared" si="9"/>
        <v>Yes</v>
      </c>
      <c r="X207" s="1"/>
      <c r="Y207" s="1"/>
      <c r="Z207" s="1"/>
      <c r="AA207" s="1"/>
    </row>
    <row r="208" spans="1:27" ht="14.4" x14ac:dyDescent="0.3">
      <c r="A208" s="1"/>
      <c r="B208" s="1"/>
      <c r="C208" s="1"/>
      <c r="D208" s="13">
        <v>23165</v>
      </c>
      <c r="E208" s="1" t="s">
        <v>179</v>
      </c>
      <c r="F208" s="14">
        <v>-4766531</v>
      </c>
      <c r="G208" s="14">
        <v>-4766531</v>
      </c>
      <c r="H208" s="14">
        <v>-4766531</v>
      </c>
      <c r="I208" s="14">
        <v>-4766531</v>
      </c>
      <c r="J208" s="14">
        <v>-4766531</v>
      </c>
      <c r="K208" s="14">
        <v>-4766531</v>
      </c>
      <c r="L208" s="14">
        <v>-4766531</v>
      </c>
      <c r="M208" s="14">
        <v>-4483761</v>
      </c>
      <c r="N208" s="14">
        <v>-4483761</v>
      </c>
      <c r="O208" s="14">
        <v>-4483761</v>
      </c>
      <c r="P208" s="14">
        <v>-4483761</v>
      </c>
      <c r="Q208" s="14">
        <v>-4706376</v>
      </c>
      <c r="R208" s="15">
        <v>0.01</v>
      </c>
      <c r="S208" s="11">
        <f t="shared" si="0"/>
        <v>1513622.6300000001</v>
      </c>
      <c r="T208" s="1" t="str">
        <f t="shared" si="1"/>
        <v>YES</v>
      </c>
      <c r="U208" s="15">
        <v>0.75</v>
      </c>
      <c r="V208" s="11">
        <f t="shared" si="8"/>
        <v>1135216.9725000001</v>
      </c>
      <c r="W208" s="1" t="str">
        <f t="shared" si="9"/>
        <v>Yes</v>
      </c>
      <c r="X208" s="1"/>
      <c r="Y208" s="1"/>
      <c r="Z208" s="1"/>
      <c r="AA208" s="1"/>
    </row>
    <row r="209" spans="1:27" ht="14.4" x14ac:dyDescent="0.3">
      <c r="A209" s="1"/>
      <c r="B209" s="1"/>
      <c r="C209" s="1"/>
      <c r="D209" s="13">
        <v>23170</v>
      </c>
      <c r="E209" s="1" t="s">
        <v>180</v>
      </c>
      <c r="F209" s="14">
        <v>-4109951</v>
      </c>
      <c r="G209" s="14">
        <v>-4109951</v>
      </c>
      <c r="H209" s="14">
        <v>-4109951</v>
      </c>
      <c r="I209" s="14">
        <v>-4109951</v>
      </c>
      <c r="J209" s="14">
        <v>-4062231</v>
      </c>
      <c r="K209" s="14">
        <v>-4014511</v>
      </c>
      <c r="L209" s="14">
        <v>-3966791</v>
      </c>
      <c r="M209" s="14">
        <v>-3919071</v>
      </c>
      <c r="N209" s="14">
        <v>-3871351</v>
      </c>
      <c r="O209" s="14">
        <v>-3823631</v>
      </c>
      <c r="P209" s="14">
        <v>-3775911</v>
      </c>
      <c r="Q209" s="14">
        <v>-3920067</v>
      </c>
      <c r="R209" s="15">
        <v>0.01</v>
      </c>
      <c r="S209" s="11">
        <f t="shared" si="0"/>
        <v>1513622.6300000001</v>
      </c>
      <c r="T209" s="1" t="str">
        <f t="shared" si="1"/>
        <v>YES</v>
      </c>
      <c r="U209" s="15">
        <v>0.75</v>
      </c>
      <c r="V209" s="11">
        <f t="shared" si="8"/>
        <v>1135216.9725000001</v>
      </c>
      <c r="W209" s="1" t="str">
        <f t="shared" si="9"/>
        <v>Yes</v>
      </c>
      <c r="X209" s="1"/>
      <c r="Y209" s="1"/>
      <c r="Z209" s="1"/>
      <c r="AA209" s="1"/>
    </row>
    <row r="210" spans="1:27" ht="14.4" x14ac:dyDescent="0.3">
      <c r="A210" s="1"/>
      <c r="B210" s="1"/>
      <c r="C210" s="1"/>
      <c r="D210" s="13">
        <v>23175</v>
      </c>
      <c r="E210" s="1" t="s">
        <v>181</v>
      </c>
      <c r="F210" s="14">
        <v>-470589</v>
      </c>
      <c r="G210" s="14">
        <v>-470589</v>
      </c>
      <c r="H210" s="14">
        <v>-470589</v>
      </c>
      <c r="I210" s="14">
        <v>-470589</v>
      </c>
      <c r="J210" s="14">
        <v>-470589</v>
      </c>
      <c r="K210" s="14">
        <v>-470589</v>
      </c>
      <c r="L210" s="14">
        <v>-470589</v>
      </c>
      <c r="M210" s="14">
        <v>-470589</v>
      </c>
      <c r="N210" s="14">
        <v>-470589</v>
      </c>
      <c r="O210" s="14">
        <v>-470589</v>
      </c>
      <c r="P210" s="14">
        <v>-470589</v>
      </c>
      <c r="Q210" s="14">
        <v>-470589</v>
      </c>
      <c r="R210" s="15">
        <v>0.01</v>
      </c>
      <c r="S210" s="11">
        <f t="shared" si="0"/>
        <v>1513622.6300000001</v>
      </c>
      <c r="T210" s="1" t="str">
        <f t="shared" si="1"/>
        <v>NO</v>
      </c>
      <c r="U210" s="15">
        <v>0.75</v>
      </c>
      <c r="V210" s="11">
        <f t="shared" si="8"/>
        <v>1135216.9725000001</v>
      </c>
      <c r="W210" s="1" t="str">
        <f t="shared" si="9"/>
        <v>No</v>
      </c>
      <c r="X210" s="1"/>
      <c r="Y210" s="1"/>
      <c r="Z210" s="1"/>
      <c r="AA210" s="1"/>
    </row>
    <row r="211" spans="1:27" ht="14.4" x14ac:dyDescent="0.3">
      <c r="A211" s="1"/>
      <c r="B211" s="1"/>
      <c r="C211" s="1"/>
      <c r="D211" s="13">
        <v>23240</v>
      </c>
      <c r="E211" s="1" t="s">
        <v>182</v>
      </c>
      <c r="F211" s="14">
        <v>-2463927</v>
      </c>
      <c r="G211" s="14">
        <v>-2463927</v>
      </c>
      <c r="H211" s="14">
        <v>-2463927</v>
      </c>
      <c r="I211" s="14">
        <v>-2417089</v>
      </c>
      <c r="J211" s="14">
        <v>-2327537</v>
      </c>
      <c r="K211" s="14">
        <v>-2327537</v>
      </c>
      <c r="L211" s="14">
        <v>-2280699</v>
      </c>
      <c r="M211" s="14">
        <v>-2280699</v>
      </c>
      <c r="N211" s="14">
        <v>-2280699</v>
      </c>
      <c r="O211" s="14">
        <v>-2233879</v>
      </c>
      <c r="P211" s="14">
        <v>-2233879</v>
      </c>
      <c r="Q211" s="14">
        <v>-927727</v>
      </c>
      <c r="R211" s="15">
        <v>0.01</v>
      </c>
      <c r="S211" s="11">
        <f t="shared" si="0"/>
        <v>1513622.6300000001</v>
      </c>
      <c r="T211" s="1" t="str">
        <f t="shared" si="1"/>
        <v>NO</v>
      </c>
      <c r="U211" s="15">
        <v>0.75</v>
      </c>
      <c r="V211" s="11">
        <f t="shared" si="8"/>
        <v>1135216.9725000001</v>
      </c>
      <c r="W211" s="1" t="str">
        <f t="shared" si="9"/>
        <v>No</v>
      </c>
      <c r="X211" s="1"/>
      <c r="Y211" s="1"/>
      <c r="Z211" s="1"/>
      <c r="AA211" s="1"/>
    </row>
    <row r="212" spans="1:27" ht="14.4" x14ac:dyDescent="0.3">
      <c r="A212" s="1"/>
      <c r="B212" s="1"/>
      <c r="C212" s="1"/>
      <c r="D212" s="13">
        <v>23250</v>
      </c>
      <c r="E212" s="1" t="s">
        <v>182</v>
      </c>
      <c r="F212" s="14">
        <v>-2701945</v>
      </c>
      <c r="G212" s="14">
        <v>-2701945</v>
      </c>
      <c r="H212" s="14">
        <v>-2701945</v>
      </c>
      <c r="I212" s="14">
        <v>-2701945</v>
      </c>
      <c r="J212" s="14">
        <v>-2702444</v>
      </c>
      <c r="K212" s="14">
        <v>-3040564</v>
      </c>
      <c r="L212" s="14">
        <v>-3044664</v>
      </c>
      <c r="M212" s="14">
        <v>-3048259</v>
      </c>
      <c r="N212" s="14">
        <v>-3053846</v>
      </c>
      <c r="O212" s="14">
        <v>-3061417</v>
      </c>
      <c r="P212" s="14">
        <v>-3061417</v>
      </c>
      <c r="Q212" s="14">
        <v>-3208597</v>
      </c>
      <c r="R212" s="15">
        <v>0.01</v>
      </c>
      <c r="S212" s="11">
        <f t="shared" si="0"/>
        <v>1513622.6300000001</v>
      </c>
      <c r="T212" s="1" t="str">
        <f t="shared" si="1"/>
        <v>YES</v>
      </c>
      <c r="U212" s="15">
        <v>0.75</v>
      </c>
      <c r="V212" s="11">
        <f t="shared" si="8"/>
        <v>1135216.9725000001</v>
      </c>
      <c r="W212" s="1" t="str">
        <f t="shared" si="9"/>
        <v>Yes</v>
      </c>
      <c r="X212" s="1"/>
      <c r="Y212" s="1"/>
      <c r="Z212" s="1"/>
      <c r="AA212" s="1"/>
    </row>
    <row r="213" spans="1:27" ht="14.4" x14ac:dyDescent="0.3">
      <c r="A213" s="1"/>
      <c r="B213" s="1"/>
      <c r="C213" s="1"/>
      <c r="D213" s="13">
        <v>23260</v>
      </c>
      <c r="E213" s="1" t="s">
        <v>183</v>
      </c>
      <c r="F213" s="14">
        <v>-8737687</v>
      </c>
      <c r="G213" s="14">
        <v>-8737687</v>
      </c>
      <c r="H213" s="14">
        <v>-8105143</v>
      </c>
      <c r="I213" s="14">
        <v>-8105143</v>
      </c>
      <c r="J213" s="14">
        <v>-8105143</v>
      </c>
      <c r="K213" s="14">
        <v>-6642026</v>
      </c>
      <c r="L213" s="14">
        <v>-6642026</v>
      </c>
      <c r="M213" s="14">
        <v>-6642026</v>
      </c>
      <c r="N213" s="14">
        <v>-6219044</v>
      </c>
      <c r="O213" s="14">
        <v>-6219044</v>
      </c>
      <c r="P213" s="14">
        <v>-6219044</v>
      </c>
      <c r="Q213" s="14">
        <v>-5637230</v>
      </c>
      <c r="R213" s="15">
        <v>0.01</v>
      </c>
      <c r="S213" s="11">
        <f t="shared" si="0"/>
        <v>1513622.6300000001</v>
      </c>
      <c r="T213" s="1" t="str">
        <f t="shared" si="1"/>
        <v>YES</v>
      </c>
      <c r="U213" s="15">
        <v>0.75</v>
      </c>
      <c r="V213" s="11">
        <f t="shared" si="8"/>
        <v>1135216.9725000001</v>
      </c>
      <c r="W213" s="1" t="str">
        <f t="shared" si="9"/>
        <v>Yes</v>
      </c>
      <c r="X213" s="1"/>
      <c r="Y213" s="1"/>
      <c r="Z213" s="1"/>
      <c r="AA213" s="1"/>
    </row>
    <row r="214" spans="1:27" ht="14.4" x14ac:dyDescent="0.3">
      <c r="A214" s="1"/>
      <c r="B214" s="1"/>
      <c r="C214" s="1"/>
      <c r="D214" s="13">
        <v>23300</v>
      </c>
      <c r="E214" s="1" t="s">
        <v>109</v>
      </c>
      <c r="F214" s="14">
        <v>-12535</v>
      </c>
      <c r="G214" s="14">
        <v>-12306</v>
      </c>
      <c r="H214" s="14">
        <v>-12197</v>
      </c>
      <c r="I214" s="14">
        <v>-12349</v>
      </c>
      <c r="J214" s="14">
        <v>-12265</v>
      </c>
      <c r="K214" s="14">
        <v>-5993</v>
      </c>
      <c r="L214" s="14">
        <v>-6124</v>
      </c>
      <c r="M214" s="14">
        <v>-6077</v>
      </c>
      <c r="N214" s="14">
        <v>-6232</v>
      </c>
      <c r="O214" s="14">
        <v>-6261</v>
      </c>
      <c r="P214" s="14">
        <v>-6265</v>
      </c>
      <c r="Q214" s="14">
        <v>-6343</v>
      </c>
      <c r="R214" s="15">
        <v>0.01</v>
      </c>
      <c r="S214" s="11">
        <f t="shared" si="0"/>
        <v>1513622.6300000001</v>
      </c>
      <c r="T214" s="1" t="str">
        <f t="shared" si="1"/>
        <v>NO</v>
      </c>
      <c r="U214" s="15">
        <v>0.75</v>
      </c>
      <c r="V214" s="11">
        <f t="shared" si="8"/>
        <v>1135216.9725000001</v>
      </c>
      <c r="W214" s="1" t="str">
        <f t="shared" si="9"/>
        <v>No</v>
      </c>
      <c r="X214" s="1"/>
      <c r="Y214" s="1"/>
      <c r="Z214" s="1"/>
      <c r="AA214" s="1"/>
    </row>
    <row r="215" spans="1:27" ht="14.4" x14ac:dyDescent="0.3">
      <c r="A215" s="1"/>
      <c r="B215" s="1"/>
      <c r="C215" s="1"/>
      <c r="D215" s="13">
        <v>23400</v>
      </c>
      <c r="E215" s="1" t="s">
        <v>184</v>
      </c>
      <c r="F215" s="14">
        <v>-399265</v>
      </c>
      <c r="G215" s="14">
        <v>-388210</v>
      </c>
      <c r="H215" s="14">
        <v>-407729</v>
      </c>
      <c r="I215" s="14">
        <v>-379402</v>
      </c>
      <c r="J215" s="14">
        <v>-393373</v>
      </c>
      <c r="K215" s="14">
        <v>-445832</v>
      </c>
      <c r="L215" s="14">
        <v>-419078</v>
      </c>
      <c r="M215" s="14">
        <v>-439911</v>
      </c>
      <c r="N215" s="14">
        <v>-447743</v>
      </c>
      <c r="O215" s="14">
        <v>-429883</v>
      </c>
      <c r="P215" s="14">
        <v>-443938</v>
      </c>
      <c r="Q215" s="14">
        <v>-257605</v>
      </c>
      <c r="R215" s="15">
        <v>0.01</v>
      </c>
      <c r="S215" s="11">
        <f t="shared" si="0"/>
        <v>1513622.6300000001</v>
      </c>
      <c r="T215" s="1" t="str">
        <f t="shared" si="1"/>
        <v>NO</v>
      </c>
      <c r="U215" s="15">
        <v>0.75</v>
      </c>
      <c r="V215" s="11">
        <f t="shared" si="8"/>
        <v>1135216.9725000001</v>
      </c>
      <c r="W215" s="1" t="str">
        <f t="shared" si="9"/>
        <v>No</v>
      </c>
      <c r="X215" s="1"/>
      <c r="Y215" s="1"/>
      <c r="Z215" s="1"/>
      <c r="AA215" s="1"/>
    </row>
    <row r="216" spans="1:27" ht="14.4" x14ac:dyDescent="0.3">
      <c r="A216" s="1"/>
      <c r="B216" s="1"/>
      <c r="C216" s="1"/>
      <c r="D216" s="13">
        <v>23600</v>
      </c>
      <c r="E216" s="1" t="s">
        <v>185</v>
      </c>
      <c r="F216" s="14">
        <v>31714</v>
      </c>
      <c r="G216" s="14">
        <v>31714</v>
      </c>
      <c r="H216" s="14">
        <v>31714</v>
      </c>
      <c r="I216" s="14">
        <v>31714</v>
      </c>
      <c r="J216" s="14">
        <v>31714</v>
      </c>
      <c r="K216" s="14">
        <v>31714</v>
      </c>
      <c r="L216" s="14">
        <v>31714</v>
      </c>
      <c r="M216" s="14">
        <v>31714</v>
      </c>
      <c r="N216" s="14">
        <v>31714</v>
      </c>
      <c r="O216" s="14">
        <v>31714</v>
      </c>
      <c r="P216" s="14">
        <v>31714</v>
      </c>
      <c r="Q216" s="14">
        <v>31714</v>
      </c>
      <c r="R216" s="15">
        <v>0.01</v>
      </c>
      <c r="S216" s="11">
        <f t="shared" si="0"/>
        <v>1513622.6300000001</v>
      </c>
      <c r="T216" s="1" t="str">
        <f t="shared" si="1"/>
        <v>NO</v>
      </c>
      <c r="U216" s="15">
        <v>0.75</v>
      </c>
      <c r="V216" s="11">
        <f t="shared" si="8"/>
        <v>1135216.9725000001</v>
      </c>
      <c r="W216" s="1" t="str">
        <f t="shared" si="9"/>
        <v>No</v>
      </c>
      <c r="X216" s="1"/>
      <c r="Y216" s="1"/>
      <c r="Z216" s="1"/>
      <c r="AA216" s="1"/>
    </row>
    <row r="217" spans="1:27" ht="14.4" x14ac:dyDescent="0.3">
      <c r="A217" s="1"/>
      <c r="B217" s="1"/>
      <c r="C217" s="1"/>
      <c r="D217" s="13">
        <v>23700</v>
      </c>
      <c r="E217" s="1" t="s">
        <v>186</v>
      </c>
      <c r="F217" s="13">
        <v>9</v>
      </c>
      <c r="G217" s="13">
        <v>9</v>
      </c>
      <c r="H217" s="13">
        <v>9</v>
      </c>
      <c r="I217" s="13">
        <v>9</v>
      </c>
      <c r="J217" s="13">
        <v>9</v>
      </c>
      <c r="K217" s="1"/>
      <c r="L217" s="1"/>
      <c r="M217" s="1"/>
      <c r="N217" s="1"/>
      <c r="O217" s="1"/>
      <c r="P217" s="1"/>
      <c r="Q217" s="1"/>
      <c r="R217" s="15">
        <v>0.01</v>
      </c>
      <c r="S217" s="11">
        <f t="shared" si="0"/>
        <v>1513622.6300000001</v>
      </c>
      <c r="T217" s="1" t="str">
        <f t="shared" si="1"/>
        <v>NO</v>
      </c>
      <c r="U217" s="15">
        <v>0.75</v>
      </c>
      <c r="V217" s="11">
        <f t="shared" si="8"/>
        <v>1135216.9725000001</v>
      </c>
      <c r="W217" s="1" t="str">
        <f t="shared" si="9"/>
        <v>No</v>
      </c>
      <c r="X217" s="1"/>
      <c r="Y217" s="1"/>
      <c r="Z217" s="1"/>
      <c r="AA217" s="1"/>
    </row>
    <row r="218" spans="1:27" ht="14.4" x14ac:dyDescent="0.3">
      <c r="A218" s="1"/>
      <c r="B218" s="1"/>
      <c r="C218" s="1"/>
      <c r="D218" s="13">
        <v>23800</v>
      </c>
      <c r="E218" s="1" t="s">
        <v>187</v>
      </c>
      <c r="F218" s="14">
        <v>-2900680</v>
      </c>
      <c r="G218" s="14">
        <v>-2900680</v>
      </c>
      <c r="H218" s="14">
        <v>-2900680</v>
      </c>
      <c r="I218" s="14">
        <v>-2900680</v>
      </c>
      <c r="J218" s="14">
        <v>-2900680</v>
      </c>
      <c r="K218" s="14">
        <v>-2900680</v>
      </c>
      <c r="L218" s="14">
        <v>-2900680</v>
      </c>
      <c r="M218" s="14">
        <v>-2900680</v>
      </c>
      <c r="N218" s="14">
        <v>-2900680</v>
      </c>
      <c r="O218" s="14">
        <v>-2900680</v>
      </c>
      <c r="P218" s="14">
        <v>-2900680</v>
      </c>
      <c r="Q218" s="14">
        <v>-2680250</v>
      </c>
      <c r="R218" s="15">
        <v>0.01</v>
      </c>
      <c r="S218" s="11">
        <f t="shared" si="0"/>
        <v>1513622.6300000001</v>
      </c>
      <c r="T218" s="1" t="str">
        <f t="shared" si="1"/>
        <v>YES</v>
      </c>
      <c r="U218" s="15">
        <v>0.75</v>
      </c>
      <c r="V218" s="11">
        <f t="shared" si="8"/>
        <v>1135216.9725000001</v>
      </c>
      <c r="W218" s="1" t="str">
        <f t="shared" si="9"/>
        <v>Yes</v>
      </c>
      <c r="X218" s="1"/>
      <c r="Y218" s="1"/>
      <c r="Z218" s="1"/>
      <c r="AA218" s="1"/>
    </row>
    <row r="219" spans="1:27" ht="14.4" x14ac:dyDescent="0.3">
      <c r="A219" s="1"/>
      <c r="B219" s="1"/>
      <c r="C219" s="1"/>
      <c r="D219" s="13">
        <v>28100</v>
      </c>
      <c r="E219" s="1" t="s">
        <v>186</v>
      </c>
      <c r="F219" s="14">
        <v>-3399621</v>
      </c>
      <c r="G219" s="14">
        <v>-3401251</v>
      </c>
      <c r="H219" s="14">
        <v>-3407098</v>
      </c>
      <c r="I219" s="14">
        <v>-3466844</v>
      </c>
      <c r="J219" s="14">
        <v>-3572043</v>
      </c>
      <c r="K219" s="14">
        <v>-3622737</v>
      </c>
      <c r="L219" s="14">
        <v>-3688670</v>
      </c>
      <c r="M219" s="14">
        <v>-3836226</v>
      </c>
      <c r="N219" s="14">
        <v>-3891803</v>
      </c>
      <c r="O219" s="14">
        <v>-3678372</v>
      </c>
      <c r="P219" s="14">
        <v>-3853206</v>
      </c>
      <c r="Q219" s="14">
        <v>-3020736</v>
      </c>
      <c r="R219" s="15">
        <v>0.01</v>
      </c>
      <c r="S219" s="11">
        <f t="shared" si="0"/>
        <v>1513622.6300000001</v>
      </c>
      <c r="T219" s="1" t="str">
        <f t="shared" si="1"/>
        <v>YES</v>
      </c>
      <c r="U219" s="15">
        <v>0.75</v>
      </c>
      <c r="V219" s="11">
        <f t="shared" si="8"/>
        <v>1135216.9725000001</v>
      </c>
      <c r="W219" s="1" t="str">
        <f t="shared" si="9"/>
        <v>Yes</v>
      </c>
      <c r="X219" s="1"/>
      <c r="Y219" s="1"/>
      <c r="Z219" s="1"/>
      <c r="AA219" s="1"/>
    </row>
    <row r="220" spans="1:27" ht="14.4" x14ac:dyDescent="0.3">
      <c r="A220" s="1"/>
      <c r="B220" s="1"/>
      <c r="C220" s="1"/>
      <c r="D220" s="13">
        <v>29110</v>
      </c>
      <c r="E220" s="1" t="s">
        <v>188</v>
      </c>
      <c r="F220" s="14">
        <v>-103882</v>
      </c>
      <c r="G220" s="14">
        <v>-103882</v>
      </c>
      <c r="H220" s="14">
        <v>-103882</v>
      </c>
      <c r="I220" s="14">
        <v>-103882</v>
      </c>
      <c r="J220" s="14">
        <v>-103960</v>
      </c>
      <c r="K220" s="14">
        <v>-103963</v>
      </c>
      <c r="L220" s="14">
        <v>-103963</v>
      </c>
      <c r="M220" s="14">
        <v>-103963</v>
      </c>
      <c r="N220" s="14">
        <v>-103963</v>
      </c>
      <c r="O220" s="14">
        <v>-103963</v>
      </c>
      <c r="P220" s="14">
        <v>-104068</v>
      </c>
      <c r="Q220" s="14">
        <v>-104102</v>
      </c>
      <c r="R220" s="15">
        <v>0.01</v>
      </c>
      <c r="S220" s="11">
        <f t="shared" si="0"/>
        <v>1513622.6300000001</v>
      </c>
      <c r="T220" s="1" t="str">
        <f t="shared" si="1"/>
        <v>NO</v>
      </c>
      <c r="U220" s="15">
        <v>0.75</v>
      </c>
      <c r="V220" s="11">
        <f t="shared" si="8"/>
        <v>1135216.9725000001</v>
      </c>
      <c r="W220" s="1" t="str">
        <f t="shared" si="9"/>
        <v>No</v>
      </c>
      <c r="X220" s="1"/>
      <c r="Y220" s="1"/>
      <c r="Z220" s="1"/>
      <c r="AA220" s="1"/>
    </row>
    <row r="221" spans="1:27" ht="14.4" x14ac:dyDescent="0.3">
      <c r="A221" s="1"/>
      <c r="B221" s="1"/>
      <c r="C221" s="1"/>
      <c r="D221" s="13">
        <v>29120</v>
      </c>
      <c r="E221" s="1" t="s">
        <v>189</v>
      </c>
      <c r="F221" s="14">
        <v>-713277478</v>
      </c>
      <c r="G221" s="14">
        <v>-713277478</v>
      </c>
      <c r="H221" s="14">
        <v>-713277478</v>
      </c>
      <c r="I221" s="14">
        <v>-713277478</v>
      </c>
      <c r="J221" s="14">
        <v>-713760653</v>
      </c>
      <c r="K221" s="14">
        <v>-713773960</v>
      </c>
      <c r="L221" s="14">
        <v>-713773960</v>
      </c>
      <c r="M221" s="14">
        <v>-713773960</v>
      </c>
      <c r="N221" s="14">
        <v>-713773960</v>
      </c>
      <c r="O221" s="14">
        <v>-713773960</v>
      </c>
      <c r="P221" s="14">
        <v>-714282055</v>
      </c>
      <c r="Q221" s="14">
        <v>-724331688</v>
      </c>
      <c r="R221" s="15">
        <v>0.01</v>
      </c>
      <c r="S221" s="11">
        <f t="shared" si="0"/>
        <v>1513622.6300000001</v>
      </c>
      <c r="T221" s="1" t="str">
        <f t="shared" si="1"/>
        <v>YES</v>
      </c>
      <c r="U221" s="15">
        <v>0.75</v>
      </c>
      <c r="V221" s="11">
        <f t="shared" si="8"/>
        <v>1135216.9725000001</v>
      </c>
      <c r="W221" s="1" t="str">
        <f t="shared" si="9"/>
        <v>Yes</v>
      </c>
      <c r="X221" s="1"/>
      <c r="Y221" s="1"/>
      <c r="Z221" s="1"/>
      <c r="AA221" s="1"/>
    </row>
    <row r="222" spans="1:27" ht="14.4" x14ac:dyDescent="0.3">
      <c r="A222" s="1"/>
      <c r="B222" s="1"/>
      <c r="C222" s="1"/>
      <c r="D222" s="13">
        <v>29140</v>
      </c>
      <c r="E222" s="1" t="s">
        <v>190</v>
      </c>
      <c r="F222" s="14">
        <v>1382445</v>
      </c>
      <c r="G222" s="14">
        <v>1957567</v>
      </c>
      <c r="H222" s="14">
        <v>1080559</v>
      </c>
      <c r="I222" s="14">
        <v>542773</v>
      </c>
      <c r="J222" s="14">
        <v>1246697</v>
      </c>
      <c r="K222" s="14">
        <v>758528</v>
      </c>
      <c r="L222" s="14">
        <v>46589</v>
      </c>
      <c r="M222" s="14">
        <v>562955</v>
      </c>
      <c r="N222" s="14">
        <v>-137431</v>
      </c>
      <c r="O222" s="14">
        <v>-231720</v>
      </c>
      <c r="P222" s="14">
        <v>9137</v>
      </c>
      <c r="Q222" s="14">
        <v>-3670330</v>
      </c>
      <c r="R222" s="15">
        <v>0.01</v>
      </c>
      <c r="S222" s="11">
        <f t="shared" si="0"/>
        <v>1513622.6300000001</v>
      </c>
      <c r="T222" s="1" t="str">
        <f t="shared" si="1"/>
        <v>YES</v>
      </c>
      <c r="U222" s="15">
        <v>0.75</v>
      </c>
      <c r="V222" s="11">
        <f t="shared" si="8"/>
        <v>1135216.9725000001</v>
      </c>
      <c r="W222" s="1" t="str">
        <f t="shared" si="9"/>
        <v>Yes</v>
      </c>
      <c r="X222" s="1"/>
      <c r="Y222" s="1"/>
      <c r="Z222" s="1"/>
      <c r="AA222" s="1"/>
    </row>
    <row r="223" spans="1:27" ht="14.4" x14ac:dyDescent="0.3">
      <c r="A223" s="1"/>
      <c r="B223" s="1"/>
      <c r="C223" s="1"/>
      <c r="D223" s="13">
        <v>29145</v>
      </c>
      <c r="E223" s="1" t="s">
        <v>191</v>
      </c>
      <c r="F223" s="16">
        <v>1225298713</v>
      </c>
      <c r="G223" s="16">
        <v>1225298713</v>
      </c>
      <c r="H223" s="16">
        <v>1225298713</v>
      </c>
      <c r="I223" s="16">
        <v>1225298713</v>
      </c>
      <c r="J223" s="16">
        <v>1226976579</v>
      </c>
      <c r="K223" s="16">
        <v>1226976579</v>
      </c>
      <c r="L223" s="16">
        <v>1226976579</v>
      </c>
      <c r="M223" s="16">
        <v>1226976579</v>
      </c>
      <c r="N223" s="16">
        <v>1226976579</v>
      </c>
      <c r="O223" s="16">
        <v>1226976579</v>
      </c>
      <c r="P223" s="16">
        <v>1226976579</v>
      </c>
      <c r="Q223" s="16">
        <v>1227001102</v>
      </c>
      <c r="R223" s="15">
        <v>0.01</v>
      </c>
      <c r="S223" s="11">
        <f t="shared" si="0"/>
        <v>1513622.6300000001</v>
      </c>
      <c r="T223" s="1" t="str">
        <f t="shared" si="1"/>
        <v>YES</v>
      </c>
      <c r="U223" s="15">
        <v>0.75</v>
      </c>
      <c r="V223" s="11">
        <f t="shared" si="8"/>
        <v>1135216.9725000001</v>
      </c>
      <c r="W223" s="1" t="str">
        <f t="shared" si="9"/>
        <v>Yes</v>
      </c>
      <c r="X223" s="1"/>
      <c r="Y223" s="1"/>
      <c r="Z223" s="1"/>
      <c r="AA223" s="1"/>
    </row>
    <row r="224" spans="1:27" ht="14.4" x14ac:dyDescent="0.3">
      <c r="A224" s="1"/>
      <c r="B224" s="1"/>
      <c r="C224" s="1"/>
      <c r="D224" s="13">
        <v>29200</v>
      </c>
      <c r="E224" s="1" t="s">
        <v>192</v>
      </c>
      <c r="F224" s="14">
        <v>-748685032</v>
      </c>
      <c r="G224" s="14">
        <v>-748685032</v>
      </c>
      <c r="H224" s="14">
        <v>-748685032</v>
      </c>
      <c r="I224" s="14">
        <v>-748685032</v>
      </c>
      <c r="J224" s="14">
        <v>-748685032</v>
      </c>
      <c r="K224" s="14">
        <v>-748685032</v>
      </c>
      <c r="L224" s="14">
        <v>-748685032</v>
      </c>
      <c r="M224" s="14">
        <v>-748685032</v>
      </c>
      <c r="N224" s="14">
        <v>-748685032</v>
      </c>
      <c r="O224" s="14">
        <v>-748685032</v>
      </c>
      <c r="P224" s="14">
        <v>-748685032</v>
      </c>
      <c r="Q224" s="14">
        <v>-748685032</v>
      </c>
      <c r="R224" s="15">
        <v>0.01</v>
      </c>
      <c r="S224" s="11">
        <f t="shared" si="0"/>
        <v>1513622.6300000001</v>
      </c>
      <c r="T224" s="1" t="str">
        <f t="shared" si="1"/>
        <v>YES</v>
      </c>
      <c r="U224" s="15">
        <v>0.75</v>
      </c>
      <c r="V224" s="11">
        <f t="shared" si="8"/>
        <v>1135216.9725000001</v>
      </c>
      <c r="W224" s="1" t="str">
        <f t="shared" si="9"/>
        <v>Yes</v>
      </c>
      <c r="X224" s="1"/>
      <c r="Y224" s="1"/>
      <c r="Z224" s="1"/>
      <c r="AA224" s="1"/>
    </row>
    <row r="225" spans="1:27" ht="14.4" x14ac:dyDescent="0.3">
      <c r="A225" s="1"/>
      <c r="B225" s="1"/>
      <c r="C225" s="1"/>
      <c r="D225" s="13">
        <v>29205</v>
      </c>
      <c r="E225" s="1" t="s">
        <v>192</v>
      </c>
      <c r="F225" s="14">
        <v>220435578</v>
      </c>
      <c r="G225" s="14">
        <v>220435578</v>
      </c>
      <c r="H225" s="14">
        <v>220435578</v>
      </c>
      <c r="I225" s="14">
        <v>220435578</v>
      </c>
      <c r="J225" s="14">
        <v>220435578</v>
      </c>
      <c r="K225" s="14">
        <v>220435578</v>
      </c>
      <c r="L225" s="14">
        <v>220435578</v>
      </c>
      <c r="M225" s="14">
        <v>220435578</v>
      </c>
      <c r="N225" s="14">
        <v>220435578</v>
      </c>
      <c r="O225" s="14">
        <v>220435578</v>
      </c>
      <c r="P225" s="14">
        <v>220435578</v>
      </c>
      <c r="Q225" s="14">
        <v>123032200</v>
      </c>
      <c r="R225" s="15">
        <v>0.01</v>
      </c>
      <c r="S225" s="11">
        <f t="shared" si="0"/>
        <v>1513622.6300000001</v>
      </c>
      <c r="T225" s="1" t="str">
        <f t="shared" si="1"/>
        <v>YES</v>
      </c>
      <c r="U225" s="15">
        <v>0.75</v>
      </c>
      <c r="V225" s="11">
        <f t="shared" si="8"/>
        <v>1135216.9725000001</v>
      </c>
      <c r="W225" s="1" t="str">
        <f t="shared" si="9"/>
        <v>Yes</v>
      </c>
      <c r="X225" s="1"/>
      <c r="Y225" s="1"/>
      <c r="Z225" s="1"/>
      <c r="AA225" s="1"/>
    </row>
    <row r="226" spans="1:27" ht="14.4" x14ac:dyDescent="0.3">
      <c r="A226" s="1"/>
      <c r="B226" s="1"/>
      <c r="C226" s="1"/>
      <c r="D226" s="13">
        <v>29215</v>
      </c>
      <c r="E226" s="1" t="s">
        <v>193</v>
      </c>
      <c r="F226" s="14">
        <v>299939615</v>
      </c>
      <c r="G226" s="14">
        <v>299939615</v>
      </c>
      <c r="H226" s="14">
        <v>299939615</v>
      </c>
      <c r="I226" s="14">
        <v>299939615</v>
      </c>
      <c r="J226" s="14">
        <v>299939615</v>
      </c>
      <c r="K226" s="14">
        <v>299939615</v>
      </c>
      <c r="L226" s="14">
        <v>299939615</v>
      </c>
      <c r="M226" s="14">
        <v>299939615</v>
      </c>
      <c r="N226" s="14">
        <v>299939615</v>
      </c>
      <c r="O226" s="14">
        <v>299939615</v>
      </c>
      <c r="P226" s="14">
        <v>299939615</v>
      </c>
      <c r="Q226" s="14">
        <v>299939615</v>
      </c>
      <c r="R226" s="15">
        <v>0.01</v>
      </c>
      <c r="S226" s="11">
        <f t="shared" si="0"/>
        <v>1513622.6300000001</v>
      </c>
      <c r="T226" s="1" t="str">
        <f t="shared" si="1"/>
        <v>YES</v>
      </c>
      <c r="U226" s="15">
        <v>0.75</v>
      </c>
      <c r="V226" s="11">
        <f t="shared" si="8"/>
        <v>1135216.9725000001</v>
      </c>
      <c r="W226" s="1" t="str">
        <f t="shared" si="9"/>
        <v>Yes</v>
      </c>
      <c r="X226" s="1"/>
      <c r="Y226" s="1"/>
      <c r="Z226" s="1"/>
      <c r="AA226" s="1"/>
    </row>
    <row r="227" spans="1:27" ht="14.4" x14ac:dyDescent="0.3">
      <c r="A227" s="1"/>
      <c r="B227" s="1"/>
      <c r="C227" s="1"/>
      <c r="D227" s="13">
        <v>30510</v>
      </c>
      <c r="E227" s="1" t="s">
        <v>194</v>
      </c>
      <c r="F227" s="14">
        <v>-14137</v>
      </c>
      <c r="G227" s="14">
        <v>-18445</v>
      </c>
      <c r="H227" s="14">
        <v>-22170</v>
      </c>
      <c r="I227" s="14">
        <v>-22432</v>
      </c>
      <c r="J227" s="14">
        <v>-22692</v>
      </c>
      <c r="K227" s="14">
        <v>-29463</v>
      </c>
      <c r="L227" s="14">
        <v>-46149</v>
      </c>
      <c r="M227" s="14">
        <v>-46149</v>
      </c>
      <c r="N227" s="14">
        <v>-49962</v>
      </c>
      <c r="O227" s="14">
        <v>-53180</v>
      </c>
      <c r="P227" s="14">
        <v>-53180</v>
      </c>
      <c r="Q227" s="14">
        <v>-53180</v>
      </c>
      <c r="R227" s="15">
        <v>0.01</v>
      </c>
      <c r="S227" s="11">
        <f t="shared" si="0"/>
        <v>1513622.6300000001</v>
      </c>
      <c r="T227" s="1" t="str">
        <f t="shared" si="1"/>
        <v>NO</v>
      </c>
      <c r="U227" s="15">
        <v>0.75</v>
      </c>
      <c r="V227" s="11">
        <f t="shared" si="8"/>
        <v>1135216.9725000001</v>
      </c>
      <c r="W227" s="1" t="str">
        <f t="shared" si="9"/>
        <v>No</v>
      </c>
      <c r="X227" s="1"/>
      <c r="Y227" s="1"/>
      <c r="Z227" s="1"/>
      <c r="AA227" s="1"/>
    </row>
    <row r="228" spans="1:27" ht="14.4" x14ac:dyDescent="0.3">
      <c r="A228" s="1"/>
      <c r="B228" s="1"/>
      <c r="C228" s="1"/>
      <c r="D228" s="13">
        <v>30515</v>
      </c>
      <c r="E228" s="1" t="s">
        <v>195</v>
      </c>
      <c r="F228" s="14">
        <v>39303</v>
      </c>
      <c r="G228" s="14">
        <v>300704</v>
      </c>
      <c r="H228" s="14">
        <v>589982</v>
      </c>
      <c r="I228" s="14">
        <v>793993</v>
      </c>
      <c r="J228" s="14">
        <v>960778</v>
      </c>
      <c r="K228" s="14">
        <v>1099968</v>
      </c>
      <c r="L228" s="14">
        <v>1248783</v>
      </c>
      <c r="M228" s="14">
        <v>1484565</v>
      </c>
      <c r="N228" s="14">
        <v>1693921</v>
      </c>
      <c r="O228" s="14">
        <v>1929418</v>
      </c>
      <c r="P228" s="14">
        <v>2073509</v>
      </c>
      <c r="Q228" s="14">
        <v>2117489</v>
      </c>
      <c r="R228" s="15">
        <v>0.01</v>
      </c>
      <c r="S228" s="11">
        <f t="shared" si="0"/>
        <v>1513622.6300000001</v>
      </c>
      <c r="T228" s="1" t="str">
        <f t="shared" si="1"/>
        <v>YES</v>
      </c>
      <c r="U228" s="15">
        <v>0.75</v>
      </c>
      <c r="V228" s="11">
        <f t="shared" si="8"/>
        <v>1135216.9725000001</v>
      </c>
      <c r="W228" s="1" t="str">
        <f t="shared" si="9"/>
        <v>Yes</v>
      </c>
      <c r="X228" s="1"/>
      <c r="Y228" s="1"/>
      <c r="Z228" s="1"/>
      <c r="AA228" s="1"/>
    </row>
    <row r="229" spans="1:27" ht="14.4" x14ac:dyDescent="0.3">
      <c r="A229" s="1"/>
      <c r="B229" s="1"/>
      <c r="C229" s="1"/>
      <c r="D229" s="13">
        <v>30516</v>
      </c>
      <c r="E229" s="1" t="s">
        <v>196</v>
      </c>
      <c r="F229" s="1"/>
      <c r="G229" s="1"/>
      <c r="H229" s="1"/>
      <c r="I229" s="13">
        <v>-84</v>
      </c>
      <c r="J229" s="14">
        <v>32288</v>
      </c>
      <c r="K229" s="14">
        <v>37441</v>
      </c>
      <c r="L229" s="14">
        <v>70432</v>
      </c>
      <c r="M229" s="14">
        <v>70842</v>
      </c>
      <c r="N229" s="14">
        <v>71139</v>
      </c>
      <c r="O229" s="14">
        <v>72850</v>
      </c>
      <c r="P229" s="14">
        <v>74114</v>
      </c>
      <c r="Q229" s="14">
        <v>74394</v>
      </c>
      <c r="R229" s="15">
        <v>0.01</v>
      </c>
      <c r="S229" s="11">
        <f t="shared" si="0"/>
        <v>1513622.6300000001</v>
      </c>
      <c r="T229" s="1" t="str">
        <f t="shared" si="1"/>
        <v>NO</v>
      </c>
      <c r="U229" s="15">
        <v>0.75</v>
      </c>
      <c r="V229" s="11">
        <f t="shared" si="8"/>
        <v>1135216.9725000001</v>
      </c>
      <c r="W229" s="1" t="str">
        <f t="shared" si="9"/>
        <v>No</v>
      </c>
      <c r="X229" s="1"/>
      <c r="Y229" s="1"/>
      <c r="Z229" s="1"/>
      <c r="AA229" s="1"/>
    </row>
    <row r="230" spans="1:27" ht="14.4" x14ac:dyDescent="0.3">
      <c r="A230" s="1"/>
      <c r="B230" s="1"/>
      <c r="C230" s="1"/>
      <c r="D230" s="13">
        <v>30520</v>
      </c>
      <c r="E230" s="1" t="s">
        <v>197</v>
      </c>
      <c r="F230" s="13">
        <v>-516</v>
      </c>
      <c r="G230" s="13">
        <v>-516</v>
      </c>
      <c r="H230" s="13">
        <v>-516</v>
      </c>
      <c r="I230" s="13">
        <v>-516</v>
      </c>
      <c r="J230" s="13">
        <v>984</v>
      </c>
      <c r="K230" s="13">
        <v>882</v>
      </c>
      <c r="L230" s="13">
        <v>882</v>
      </c>
      <c r="M230" s="14">
        <v>1442</v>
      </c>
      <c r="N230" s="14">
        <v>1442</v>
      </c>
      <c r="O230" s="14">
        <v>1442</v>
      </c>
      <c r="P230" s="14">
        <v>1442</v>
      </c>
      <c r="Q230" s="14">
        <v>1442</v>
      </c>
      <c r="R230" s="15">
        <v>0.01</v>
      </c>
      <c r="S230" s="11">
        <f t="shared" si="0"/>
        <v>1513622.6300000001</v>
      </c>
      <c r="T230" s="1" t="str">
        <f t="shared" si="1"/>
        <v>NO</v>
      </c>
      <c r="U230" s="15">
        <v>0.75</v>
      </c>
      <c r="V230" s="11">
        <f t="shared" si="8"/>
        <v>1135216.9725000001</v>
      </c>
      <c r="W230" s="1" t="str">
        <f t="shared" si="9"/>
        <v>No</v>
      </c>
      <c r="X230" s="1"/>
      <c r="Y230" s="1"/>
      <c r="Z230" s="1"/>
      <c r="AA230" s="1"/>
    </row>
    <row r="231" spans="1:27" ht="14.4" x14ac:dyDescent="0.3">
      <c r="A231" s="1"/>
      <c r="B231" s="1"/>
      <c r="C231" s="1"/>
      <c r="D231" s="13">
        <v>30531</v>
      </c>
      <c r="E231" s="1" t="s">
        <v>198</v>
      </c>
      <c r="F231" s="14">
        <v>-2264901</v>
      </c>
      <c r="G231" s="14">
        <v>-2095517</v>
      </c>
      <c r="H231" s="14">
        <v>-1545861</v>
      </c>
      <c r="I231" s="14">
        <v>-1131243</v>
      </c>
      <c r="J231" s="14">
        <v>-310490</v>
      </c>
      <c r="K231" s="14">
        <v>21884</v>
      </c>
      <c r="L231" s="14">
        <v>254700</v>
      </c>
      <c r="M231" s="14">
        <v>805900</v>
      </c>
      <c r="N231" s="14">
        <v>930369</v>
      </c>
      <c r="O231" s="14">
        <v>1048205</v>
      </c>
      <c r="P231" s="14">
        <v>1343763</v>
      </c>
      <c r="Q231" s="14">
        <v>1543232</v>
      </c>
      <c r="R231" s="15">
        <v>0.01</v>
      </c>
      <c r="S231" s="11">
        <f t="shared" si="0"/>
        <v>1513622.6300000001</v>
      </c>
      <c r="T231" s="1" t="str">
        <f t="shared" si="1"/>
        <v>YES</v>
      </c>
      <c r="U231" s="15">
        <v>0.75</v>
      </c>
      <c r="V231" s="11">
        <f t="shared" si="8"/>
        <v>1135216.9725000001</v>
      </c>
      <c r="W231" s="1" t="str">
        <f t="shared" si="9"/>
        <v>Yes</v>
      </c>
      <c r="X231" s="1"/>
      <c r="Y231" s="1"/>
      <c r="Z231" s="1"/>
      <c r="AA231" s="1"/>
    </row>
    <row r="232" spans="1:27" ht="14.4" x14ac:dyDescent="0.3">
      <c r="A232" s="1"/>
      <c r="B232" s="1"/>
      <c r="C232" s="1"/>
      <c r="D232" s="13">
        <v>30532</v>
      </c>
      <c r="E232" s="1" t="s">
        <v>198</v>
      </c>
      <c r="F232" s="14">
        <v>-1843560</v>
      </c>
      <c r="G232" s="14">
        <v>-3830152</v>
      </c>
      <c r="H232" s="14">
        <v>-5925659</v>
      </c>
      <c r="I232" s="14">
        <v>-7799713</v>
      </c>
      <c r="J232" s="14">
        <v>-11134862</v>
      </c>
      <c r="K232" s="14">
        <v>-13082852</v>
      </c>
      <c r="L232" s="14">
        <v>-15358401</v>
      </c>
      <c r="M232" s="14">
        <v>-18058831</v>
      </c>
      <c r="N232" s="14">
        <v>-20327307</v>
      </c>
      <c r="O232" s="14">
        <v>-22242846</v>
      </c>
      <c r="P232" s="14">
        <v>-24109368</v>
      </c>
      <c r="Q232" s="14">
        <v>-25864873</v>
      </c>
      <c r="R232" s="15">
        <v>0.01</v>
      </c>
      <c r="S232" s="11">
        <f t="shared" si="0"/>
        <v>1513622.6300000001</v>
      </c>
      <c r="T232" s="1" t="str">
        <f t="shared" si="1"/>
        <v>YES</v>
      </c>
      <c r="U232" s="15">
        <v>0.75</v>
      </c>
      <c r="V232" s="11">
        <f t="shared" si="8"/>
        <v>1135216.9725000001</v>
      </c>
      <c r="W232" s="1" t="str">
        <f t="shared" si="9"/>
        <v>Yes</v>
      </c>
      <c r="X232" s="1"/>
      <c r="Y232" s="1"/>
      <c r="Z232" s="1"/>
      <c r="AA232" s="1"/>
    </row>
    <row r="233" spans="1:27" ht="14.4" x14ac:dyDescent="0.3">
      <c r="A233" s="1"/>
      <c r="B233" s="1"/>
      <c r="C233" s="1"/>
      <c r="D233" s="13">
        <v>30534</v>
      </c>
      <c r="E233" s="1" t="s">
        <v>199</v>
      </c>
      <c r="F233" s="1"/>
      <c r="G233" s="1"/>
      <c r="H233" s="1"/>
      <c r="I233" s="1"/>
      <c r="J233" s="1"/>
      <c r="K233" s="1"/>
      <c r="L233" s="1"/>
      <c r="M233" s="1"/>
      <c r="N233" s="14">
        <v>-9595480</v>
      </c>
      <c r="O233" s="14">
        <v>-21278040</v>
      </c>
      <c r="P233" s="14">
        <v>-30220179</v>
      </c>
      <c r="Q233" s="14">
        <v>-38115550</v>
      </c>
      <c r="R233" s="15">
        <v>0.01</v>
      </c>
      <c r="S233" s="11">
        <f t="shared" si="0"/>
        <v>1513622.6300000001</v>
      </c>
      <c r="T233" s="1" t="str">
        <f t="shared" si="1"/>
        <v>YES</v>
      </c>
      <c r="U233" s="15">
        <v>0.75</v>
      </c>
      <c r="V233" s="11">
        <f t="shared" si="8"/>
        <v>1135216.9725000001</v>
      </c>
      <c r="W233" s="1" t="str">
        <f t="shared" si="9"/>
        <v>Yes</v>
      </c>
      <c r="X233" s="1"/>
      <c r="Y233" s="1"/>
      <c r="Z233" s="1"/>
      <c r="AA233" s="1"/>
    </row>
    <row r="234" spans="1:27" ht="14.4" x14ac:dyDescent="0.3">
      <c r="A234" s="1"/>
      <c r="B234" s="1"/>
      <c r="C234" s="1"/>
      <c r="D234" s="13">
        <v>31002</v>
      </c>
      <c r="E234" s="1" t="s">
        <v>200</v>
      </c>
      <c r="F234" s="14">
        <v>-74044682</v>
      </c>
      <c r="G234" s="14">
        <v>-153303778</v>
      </c>
      <c r="H234" s="14">
        <v>-242354599</v>
      </c>
      <c r="I234" s="14">
        <v>-330528922</v>
      </c>
      <c r="J234" s="14">
        <v>-413972467</v>
      </c>
      <c r="K234" s="14">
        <v>-495329541</v>
      </c>
      <c r="L234" s="14">
        <v>-588920633</v>
      </c>
      <c r="M234" s="14">
        <v>-683008291</v>
      </c>
      <c r="N234" s="14">
        <v>-795826204</v>
      </c>
      <c r="O234" s="14">
        <v>-910047331</v>
      </c>
      <c r="P234" s="16">
        <v>-1013089618</v>
      </c>
      <c r="Q234" s="16">
        <v>-1111123152</v>
      </c>
      <c r="R234" s="15">
        <v>0.01</v>
      </c>
      <c r="S234" s="11">
        <f t="shared" si="0"/>
        <v>1513622.6300000001</v>
      </c>
      <c r="T234" s="1" t="str">
        <f t="shared" si="1"/>
        <v>YES</v>
      </c>
      <c r="U234" s="15">
        <v>0.75</v>
      </c>
      <c r="V234" s="11">
        <f t="shared" si="8"/>
        <v>1135216.9725000001</v>
      </c>
      <c r="W234" s="1" t="str">
        <f t="shared" si="9"/>
        <v>Yes</v>
      </c>
      <c r="X234" s="1"/>
      <c r="Y234" s="1"/>
      <c r="Z234" s="1"/>
      <c r="AA234" s="1"/>
    </row>
    <row r="235" spans="1:27" ht="14.4" x14ac:dyDescent="0.3">
      <c r="A235" s="1"/>
      <c r="B235" s="1"/>
      <c r="C235" s="1"/>
      <c r="D235" s="13">
        <v>31005</v>
      </c>
      <c r="E235" s="1" t="s">
        <v>201</v>
      </c>
      <c r="F235" s="14">
        <v>-3130320</v>
      </c>
      <c r="G235" s="14">
        <v>-7363436</v>
      </c>
      <c r="H235" s="14">
        <v>-11744814</v>
      </c>
      <c r="I235" s="14">
        <v>-16570720</v>
      </c>
      <c r="J235" s="14">
        <v>-22179861</v>
      </c>
      <c r="K235" s="14">
        <v>-25992236</v>
      </c>
      <c r="L235" s="14">
        <v>-29785422</v>
      </c>
      <c r="M235" s="14">
        <v>-33108575</v>
      </c>
      <c r="N235" s="14">
        <v>-36124936</v>
      </c>
      <c r="O235" s="14">
        <v>-38318682</v>
      </c>
      <c r="P235" s="14">
        <v>-42382187</v>
      </c>
      <c r="Q235" s="14">
        <v>-44912360</v>
      </c>
      <c r="R235" s="15">
        <v>0.01</v>
      </c>
      <c r="S235" s="11">
        <f t="shared" si="0"/>
        <v>1513622.6300000001</v>
      </c>
      <c r="T235" s="1" t="str">
        <f t="shared" si="1"/>
        <v>YES</v>
      </c>
      <c r="U235" s="15">
        <v>0.75</v>
      </c>
      <c r="V235" s="11">
        <f t="shared" si="8"/>
        <v>1135216.9725000001</v>
      </c>
      <c r="W235" s="1" t="str">
        <f t="shared" si="9"/>
        <v>Yes</v>
      </c>
      <c r="X235" s="1"/>
      <c r="Y235" s="1"/>
      <c r="Z235" s="1"/>
      <c r="AA235" s="1"/>
    </row>
    <row r="236" spans="1:27" ht="14.4" x14ac:dyDescent="0.3">
      <c r="A236" s="1"/>
      <c r="B236" s="1"/>
      <c r="C236" s="1"/>
      <c r="D236" s="13">
        <v>31011</v>
      </c>
      <c r="E236" s="1" t="s">
        <v>202</v>
      </c>
      <c r="F236" s="14">
        <v>16292400</v>
      </c>
      <c r="G236" s="14">
        <v>32089953</v>
      </c>
      <c r="H236" s="14">
        <v>51042087</v>
      </c>
      <c r="I236" s="14">
        <v>70233052</v>
      </c>
      <c r="J236" s="14">
        <v>90542657</v>
      </c>
      <c r="K236" s="14">
        <v>110230843</v>
      </c>
      <c r="L236" s="14">
        <v>131044618</v>
      </c>
      <c r="M236" s="14">
        <v>153541987</v>
      </c>
      <c r="N236" s="14">
        <v>178749750</v>
      </c>
      <c r="O236" s="14">
        <v>210115591</v>
      </c>
      <c r="P236" s="14">
        <v>241059240</v>
      </c>
      <c r="Q236" s="14">
        <v>271301526</v>
      </c>
      <c r="R236" s="15">
        <v>0.01</v>
      </c>
      <c r="S236" s="11">
        <f t="shared" si="0"/>
        <v>1513622.6300000001</v>
      </c>
      <c r="T236" s="1" t="str">
        <f t="shared" si="1"/>
        <v>YES</v>
      </c>
      <c r="U236" s="15">
        <v>0.75</v>
      </c>
      <c r="V236" s="11">
        <f t="shared" si="8"/>
        <v>1135216.9725000001</v>
      </c>
      <c r="W236" s="1" t="str">
        <f t="shared" si="9"/>
        <v>Yes</v>
      </c>
      <c r="X236" s="1"/>
      <c r="Y236" s="1"/>
      <c r="Z236" s="1"/>
      <c r="AA236" s="1"/>
    </row>
    <row r="237" spans="1:27" ht="14.4" x14ac:dyDescent="0.3">
      <c r="A237" s="1"/>
      <c r="B237" s="1"/>
      <c r="C237" s="1"/>
      <c r="D237" s="13">
        <v>31012</v>
      </c>
      <c r="E237" s="1" t="s">
        <v>203</v>
      </c>
      <c r="F237" s="1"/>
      <c r="G237" s="1"/>
      <c r="H237" s="1"/>
      <c r="I237" s="1"/>
      <c r="J237" s="1"/>
      <c r="K237" s="1"/>
      <c r="L237" s="1"/>
      <c r="M237" s="1"/>
      <c r="N237" s="1"/>
      <c r="O237" s="14">
        <v>-4263</v>
      </c>
      <c r="P237" s="14">
        <v>-4263</v>
      </c>
      <c r="Q237" s="14">
        <v>-3823</v>
      </c>
      <c r="R237" s="15">
        <v>0.01</v>
      </c>
      <c r="S237" s="11">
        <f t="shared" si="0"/>
        <v>1513622.6300000001</v>
      </c>
      <c r="T237" s="1" t="str">
        <f t="shared" si="1"/>
        <v>NO</v>
      </c>
      <c r="U237" s="15">
        <v>0.75</v>
      </c>
      <c r="V237" s="11">
        <f t="shared" si="8"/>
        <v>1135216.9725000001</v>
      </c>
      <c r="W237" s="1" t="str">
        <f t="shared" si="9"/>
        <v>No</v>
      </c>
      <c r="X237" s="1"/>
      <c r="Y237" s="1"/>
      <c r="Z237" s="1"/>
      <c r="AA237" s="1"/>
    </row>
    <row r="238" spans="1:27" ht="14.4" x14ac:dyDescent="0.3">
      <c r="A238" s="1"/>
      <c r="B238" s="1"/>
      <c r="C238" s="1"/>
      <c r="D238" s="13">
        <v>31072</v>
      </c>
      <c r="E238" s="1" t="s">
        <v>204</v>
      </c>
      <c r="F238" s="14">
        <v>-2324369</v>
      </c>
      <c r="G238" s="14">
        <v>-4265278</v>
      </c>
      <c r="H238" s="14">
        <v>-5809460</v>
      </c>
      <c r="I238" s="14">
        <v>-8374060</v>
      </c>
      <c r="J238" s="14">
        <v>-12671378</v>
      </c>
      <c r="K238" s="14">
        <v>-14909984</v>
      </c>
      <c r="L238" s="14">
        <v>-16210445</v>
      </c>
      <c r="M238" s="14">
        <v>-17428571</v>
      </c>
      <c r="N238" s="14">
        <v>-17989478</v>
      </c>
      <c r="O238" s="14">
        <v>-18930519</v>
      </c>
      <c r="P238" s="14">
        <v>-20358944</v>
      </c>
      <c r="Q238" s="14">
        <v>-22771363</v>
      </c>
      <c r="R238" s="15">
        <v>0.01</v>
      </c>
      <c r="S238" s="11">
        <f t="shared" si="0"/>
        <v>1513622.6300000001</v>
      </c>
      <c r="T238" s="1" t="str">
        <f t="shared" si="1"/>
        <v>YES</v>
      </c>
      <c r="U238" s="15">
        <v>0.75</v>
      </c>
      <c r="V238" s="11">
        <f t="shared" si="8"/>
        <v>1135216.9725000001</v>
      </c>
      <c r="W238" s="1" t="str">
        <f t="shared" si="9"/>
        <v>Yes</v>
      </c>
      <c r="X238" s="1"/>
      <c r="Y238" s="1"/>
      <c r="Z238" s="1"/>
      <c r="AA238" s="1"/>
    </row>
    <row r="239" spans="1:27" ht="14.4" x14ac:dyDescent="0.3">
      <c r="A239" s="1"/>
      <c r="B239" s="1"/>
      <c r="C239" s="1"/>
      <c r="D239" s="13">
        <v>31170</v>
      </c>
      <c r="E239" s="1" t="s">
        <v>205</v>
      </c>
      <c r="F239" s="14">
        <v>-1661818</v>
      </c>
      <c r="G239" s="14">
        <v>-3077565</v>
      </c>
      <c r="H239" s="14">
        <v>-3900844</v>
      </c>
      <c r="I239" s="14">
        <v>-5011777</v>
      </c>
      <c r="J239" s="14">
        <v>-6822001</v>
      </c>
      <c r="K239" s="14">
        <v>-8717573</v>
      </c>
      <c r="L239" s="14">
        <v>-9996095</v>
      </c>
      <c r="M239" s="14">
        <v>-11410170</v>
      </c>
      <c r="N239" s="14">
        <v>-13098314</v>
      </c>
      <c r="O239" s="14">
        <v>-14463942</v>
      </c>
      <c r="P239" s="14">
        <v>-16179141</v>
      </c>
      <c r="Q239" s="14">
        <v>-17784984</v>
      </c>
      <c r="R239" s="15">
        <v>0.01</v>
      </c>
      <c r="S239" s="11">
        <f t="shared" si="0"/>
        <v>1513622.6300000001</v>
      </c>
      <c r="T239" s="1" t="str">
        <f t="shared" si="1"/>
        <v>YES</v>
      </c>
      <c r="U239" s="15">
        <v>0.75</v>
      </c>
      <c r="V239" s="11">
        <f t="shared" si="8"/>
        <v>1135216.9725000001</v>
      </c>
      <c r="W239" s="1" t="str">
        <f t="shared" si="9"/>
        <v>Yes</v>
      </c>
      <c r="X239" s="1"/>
      <c r="Y239" s="1"/>
      <c r="Z239" s="1"/>
      <c r="AA239" s="1"/>
    </row>
    <row r="240" spans="1:27" ht="14.4" x14ac:dyDescent="0.3">
      <c r="A240" s="1"/>
      <c r="B240" s="1"/>
      <c r="C240" s="1"/>
      <c r="D240" s="13">
        <v>31180</v>
      </c>
      <c r="E240" s="1" t="s">
        <v>206</v>
      </c>
      <c r="F240" s="14">
        <v>-308591</v>
      </c>
      <c r="G240" s="14">
        <v>-444844</v>
      </c>
      <c r="H240" s="14">
        <v>-707189</v>
      </c>
      <c r="I240" s="14">
        <v>-940398</v>
      </c>
      <c r="J240" s="14">
        <v>-1194820</v>
      </c>
      <c r="K240" s="14">
        <v>-1434008</v>
      </c>
      <c r="L240" s="14">
        <v>-1816017</v>
      </c>
      <c r="M240" s="14">
        <v>-2169138</v>
      </c>
      <c r="N240" s="14">
        <v>-2442705</v>
      </c>
      <c r="O240" s="14">
        <v>-2733416</v>
      </c>
      <c r="P240" s="14">
        <v>-2850688</v>
      </c>
      <c r="Q240" s="14">
        <v>-3111726</v>
      </c>
      <c r="R240" s="15">
        <v>0.01</v>
      </c>
      <c r="S240" s="11">
        <f t="shared" si="0"/>
        <v>1513622.6300000001</v>
      </c>
      <c r="T240" s="1" t="str">
        <f t="shared" si="1"/>
        <v>YES</v>
      </c>
      <c r="U240" s="15">
        <v>0.75</v>
      </c>
      <c r="V240" s="11">
        <f t="shared" si="8"/>
        <v>1135216.9725000001</v>
      </c>
      <c r="W240" s="1" t="str">
        <f t="shared" si="9"/>
        <v>Yes</v>
      </c>
      <c r="X240" s="1"/>
      <c r="Y240" s="1"/>
      <c r="Z240" s="1"/>
      <c r="AA240" s="1"/>
    </row>
    <row r="241" spans="1:27" ht="14.4" x14ac:dyDescent="0.3">
      <c r="A241" s="1"/>
      <c r="B241" s="1"/>
      <c r="C241" s="1"/>
      <c r="D241" s="13">
        <v>31999</v>
      </c>
      <c r="E241" s="1" t="s">
        <v>207</v>
      </c>
      <c r="F241" s="14">
        <v>-3495</v>
      </c>
      <c r="G241" s="14">
        <v>-6445</v>
      </c>
      <c r="H241" s="14">
        <v>-8061</v>
      </c>
      <c r="I241" s="14">
        <v>-10664</v>
      </c>
      <c r="J241" s="14">
        <v>-12752</v>
      </c>
      <c r="K241" s="14">
        <v>-15193</v>
      </c>
      <c r="L241" s="14">
        <v>-16714</v>
      </c>
      <c r="M241" s="14">
        <v>-17926</v>
      </c>
      <c r="N241" s="14">
        <v>-18630</v>
      </c>
      <c r="O241" s="14">
        <v>-19066</v>
      </c>
      <c r="P241" s="14">
        <v>-20060</v>
      </c>
      <c r="Q241" s="14">
        <v>-22185</v>
      </c>
      <c r="R241" s="15">
        <v>0.01</v>
      </c>
      <c r="S241" s="11">
        <f t="shared" si="0"/>
        <v>1513622.6300000001</v>
      </c>
      <c r="T241" s="1" t="str">
        <f t="shared" si="1"/>
        <v>NO</v>
      </c>
      <c r="U241" s="15">
        <v>0.75</v>
      </c>
      <c r="V241" s="11">
        <f t="shared" si="8"/>
        <v>1135216.9725000001</v>
      </c>
      <c r="W241" s="1" t="str">
        <f t="shared" si="9"/>
        <v>No</v>
      </c>
      <c r="X241" s="1"/>
      <c r="Y241" s="1"/>
      <c r="Z241" s="1"/>
      <c r="AA241" s="1"/>
    </row>
    <row r="242" spans="1:27" ht="14.4" x14ac:dyDescent="0.3">
      <c r="A242" s="1"/>
      <c r="B242" s="1"/>
      <c r="C242" s="1"/>
      <c r="D242" s="13">
        <v>32002</v>
      </c>
      <c r="E242" s="1" t="s">
        <v>208</v>
      </c>
      <c r="F242" s="14">
        <v>-7621</v>
      </c>
      <c r="G242" s="14">
        <v>-12694</v>
      </c>
      <c r="H242" s="14">
        <v>-72374</v>
      </c>
      <c r="I242" s="14">
        <v>-81951</v>
      </c>
      <c r="J242" s="14">
        <v>-80371</v>
      </c>
      <c r="K242" s="14">
        <v>-991647</v>
      </c>
      <c r="L242" s="14">
        <v>-1159961</v>
      </c>
      <c r="M242" s="14">
        <v>-1188535</v>
      </c>
      <c r="N242" s="14">
        <v>-1226189</v>
      </c>
      <c r="O242" s="14">
        <v>-1234247</v>
      </c>
      <c r="P242" s="14">
        <v>-1285286</v>
      </c>
      <c r="Q242" s="14">
        <v>-1371802</v>
      </c>
      <c r="R242" s="15">
        <v>0.01</v>
      </c>
      <c r="S242" s="11">
        <f t="shared" si="0"/>
        <v>1513622.6300000001</v>
      </c>
      <c r="T242" s="1" t="str">
        <f t="shared" si="1"/>
        <v>NO</v>
      </c>
      <c r="U242" s="15">
        <v>0.75</v>
      </c>
      <c r="V242" s="11">
        <f t="shared" si="8"/>
        <v>1135216.9725000001</v>
      </c>
      <c r="W242" s="1" t="str">
        <f t="shared" si="9"/>
        <v>Yes</v>
      </c>
      <c r="X242" s="1"/>
      <c r="Y242" s="1"/>
      <c r="Z242" s="1"/>
      <c r="AA242" s="1"/>
    </row>
    <row r="243" spans="1:27" ht="14.4" x14ac:dyDescent="0.3">
      <c r="A243" s="1"/>
      <c r="B243" s="1"/>
      <c r="C243" s="1"/>
      <c r="D243" s="13">
        <v>35001</v>
      </c>
      <c r="E243" s="1" t="s">
        <v>209</v>
      </c>
      <c r="F243" s="14">
        <v>14196</v>
      </c>
      <c r="G243" s="14">
        <v>26637</v>
      </c>
      <c r="H243" s="14">
        <v>44614</v>
      </c>
      <c r="I243" s="14">
        <v>104266</v>
      </c>
      <c r="J243" s="14">
        <v>157181</v>
      </c>
      <c r="K243" s="14">
        <v>191450</v>
      </c>
      <c r="L243" s="14">
        <v>236298</v>
      </c>
      <c r="M243" s="14">
        <v>266134</v>
      </c>
      <c r="N243" s="14">
        <v>295068</v>
      </c>
      <c r="O243" s="14">
        <v>339498</v>
      </c>
      <c r="P243" s="14">
        <v>357762</v>
      </c>
      <c r="Q243" s="14">
        <v>367512</v>
      </c>
      <c r="R243" s="15">
        <v>0.01</v>
      </c>
      <c r="S243" s="11">
        <f t="shared" si="0"/>
        <v>1513622.6300000001</v>
      </c>
      <c r="T243" s="1" t="str">
        <f t="shared" si="1"/>
        <v>NO</v>
      </c>
      <c r="U243" s="15">
        <v>0.75</v>
      </c>
      <c r="V243" s="11">
        <f t="shared" si="8"/>
        <v>1135216.9725000001</v>
      </c>
      <c r="W243" s="1" t="str">
        <f t="shared" si="9"/>
        <v>No</v>
      </c>
      <c r="X243" s="1"/>
      <c r="Y243" s="1"/>
      <c r="Z243" s="1"/>
      <c r="AA243" s="1"/>
    </row>
    <row r="244" spans="1:27" ht="14.4" x14ac:dyDescent="0.3">
      <c r="A244" s="1"/>
      <c r="B244" s="1"/>
      <c r="C244" s="1"/>
      <c r="D244" s="13">
        <v>36002</v>
      </c>
      <c r="E244" s="1" t="s">
        <v>210</v>
      </c>
      <c r="F244" s="13">
        <v>85</v>
      </c>
      <c r="G244" s="13">
        <v>-589</v>
      </c>
      <c r="H244" s="14">
        <v>367541</v>
      </c>
      <c r="I244" s="14">
        <v>460318</v>
      </c>
      <c r="J244" s="14">
        <v>593225</v>
      </c>
      <c r="K244" s="14">
        <v>679194</v>
      </c>
      <c r="L244" s="14">
        <v>780583</v>
      </c>
      <c r="M244" s="14">
        <v>917353</v>
      </c>
      <c r="N244" s="14">
        <v>1049600</v>
      </c>
      <c r="O244" s="14">
        <v>1049622</v>
      </c>
      <c r="P244" s="14">
        <v>1184651</v>
      </c>
      <c r="Q244" s="14">
        <v>1343540</v>
      </c>
      <c r="R244" s="15">
        <v>0.01</v>
      </c>
      <c r="S244" s="11">
        <f t="shared" si="0"/>
        <v>1513622.6300000001</v>
      </c>
      <c r="T244" s="1" t="str">
        <f t="shared" si="1"/>
        <v>NO</v>
      </c>
      <c r="U244" s="15">
        <v>0.75</v>
      </c>
      <c r="V244" s="11">
        <f t="shared" si="8"/>
        <v>1135216.9725000001</v>
      </c>
      <c r="W244" s="1" t="str">
        <f t="shared" si="9"/>
        <v>Yes</v>
      </c>
      <c r="X244" s="1"/>
      <c r="Y244" s="1"/>
      <c r="Z244" s="1"/>
      <c r="AA244" s="1"/>
    </row>
    <row r="245" spans="1:27" ht="14.4" x14ac:dyDescent="0.3">
      <c r="A245" s="1"/>
      <c r="B245" s="1"/>
      <c r="C245" s="1"/>
      <c r="D245" s="13">
        <v>41100</v>
      </c>
      <c r="E245" s="1" t="s">
        <v>211</v>
      </c>
      <c r="F245" s="14">
        <v>36075865</v>
      </c>
      <c r="G245" s="14">
        <v>67955262</v>
      </c>
      <c r="H245" s="14">
        <v>102060632</v>
      </c>
      <c r="I245" s="14">
        <v>135281367</v>
      </c>
      <c r="J245" s="14">
        <v>167795063</v>
      </c>
      <c r="K245" s="14">
        <v>196714525</v>
      </c>
      <c r="L245" s="14">
        <v>233801416</v>
      </c>
      <c r="M245" s="14">
        <v>270192140</v>
      </c>
      <c r="N245" s="14">
        <v>324291212</v>
      </c>
      <c r="O245" s="14">
        <v>377601466</v>
      </c>
      <c r="P245" s="14">
        <v>421008239</v>
      </c>
      <c r="Q245" s="14">
        <v>463689498</v>
      </c>
      <c r="R245" s="15">
        <v>0.01</v>
      </c>
      <c r="S245" s="11">
        <f t="shared" si="0"/>
        <v>1513622.6300000001</v>
      </c>
      <c r="T245" s="1" t="str">
        <f t="shared" si="1"/>
        <v>YES</v>
      </c>
      <c r="U245" s="15">
        <v>0.75</v>
      </c>
      <c r="V245" s="11">
        <f t="shared" si="8"/>
        <v>1135216.9725000001</v>
      </c>
      <c r="W245" s="1" t="str">
        <f t="shared" si="9"/>
        <v>Yes</v>
      </c>
      <c r="X245" s="1"/>
      <c r="Y245" s="1"/>
      <c r="Z245" s="1"/>
      <c r="AA245" s="1"/>
    </row>
    <row r="246" spans="1:27" ht="14.4" x14ac:dyDescent="0.3">
      <c r="A246" s="1"/>
      <c r="B246" s="1"/>
      <c r="C246" s="1"/>
      <c r="D246" s="13">
        <v>41101</v>
      </c>
      <c r="E246" s="1" t="s">
        <v>211</v>
      </c>
      <c r="F246" s="14">
        <v>-484410</v>
      </c>
      <c r="G246" s="14">
        <v>-926240</v>
      </c>
      <c r="H246" s="14">
        <v>-1297329</v>
      </c>
      <c r="I246" s="14">
        <v>-738201</v>
      </c>
      <c r="J246" s="14">
        <v>-221841</v>
      </c>
      <c r="K246" s="14">
        <v>1313235</v>
      </c>
      <c r="L246" s="14">
        <v>1581908</v>
      </c>
      <c r="M246" s="14">
        <v>3130979</v>
      </c>
      <c r="N246" s="14">
        <v>4485327</v>
      </c>
      <c r="O246" s="14">
        <v>5934162</v>
      </c>
      <c r="P246" s="14">
        <v>7212258</v>
      </c>
      <c r="Q246" s="14">
        <v>8561862</v>
      </c>
      <c r="R246" s="15">
        <v>0.01</v>
      </c>
      <c r="S246" s="11">
        <f t="shared" si="0"/>
        <v>1513622.6300000001</v>
      </c>
      <c r="T246" s="1" t="str">
        <f t="shared" si="1"/>
        <v>YES</v>
      </c>
      <c r="U246" s="15">
        <v>0.75</v>
      </c>
      <c r="V246" s="11">
        <f t="shared" si="8"/>
        <v>1135216.9725000001</v>
      </c>
      <c r="W246" s="1" t="str">
        <f t="shared" si="9"/>
        <v>Yes</v>
      </c>
      <c r="X246" s="1"/>
      <c r="Y246" s="1"/>
      <c r="Z246" s="1"/>
      <c r="AA246" s="1"/>
    </row>
    <row r="247" spans="1:27" ht="14.4" x14ac:dyDescent="0.3">
      <c r="A247" s="1"/>
      <c r="B247" s="1"/>
      <c r="C247" s="1"/>
      <c r="D247" s="13">
        <v>41105</v>
      </c>
      <c r="E247" s="1" t="s">
        <v>212</v>
      </c>
      <c r="F247" s="14">
        <v>3287622</v>
      </c>
      <c r="G247" s="14">
        <v>7150545</v>
      </c>
      <c r="H247" s="14">
        <v>11151987</v>
      </c>
      <c r="I247" s="14">
        <v>15272260</v>
      </c>
      <c r="J247" s="14">
        <v>20127102</v>
      </c>
      <c r="K247" s="14">
        <v>23507626</v>
      </c>
      <c r="L247" s="14">
        <v>26831469</v>
      </c>
      <c r="M247" s="14">
        <v>29789985</v>
      </c>
      <c r="N247" s="14">
        <v>32585031</v>
      </c>
      <c r="O247" s="14">
        <v>34580197</v>
      </c>
      <c r="P247" s="14">
        <v>38381865</v>
      </c>
      <c r="Q247" s="14">
        <v>40724539</v>
      </c>
      <c r="R247" s="15">
        <v>0.01</v>
      </c>
      <c r="S247" s="11">
        <f t="shared" si="0"/>
        <v>1513622.6300000001</v>
      </c>
      <c r="T247" s="1" t="str">
        <f t="shared" si="1"/>
        <v>YES</v>
      </c>
      <c r="U247" s="15">
        <v>0.75</v>
      </c>
      <c r="V247" s="11">
        <f t="shared" si="8"/>
        <v>1135216.9725000001</v>
      </c>
      <c r="W247" s="1" t="str">
        <f t="shared" si="9"/>
        <v>Yes</v>
      </c>
      <c r="X247" s="1"/>
      <c r="Y247" s="1"/>
      <c r="Z247" s="1"/>
      <c r="AA247" s="1"/>
    </row>
    <row r="248" spans="1:27" ht="14.4" x14ac:dyDescent="0.3">
      <c r="A248" s="1"/>
      <c r="B248" s="1"/>
      <c r="C248" s="1"/>
      <c r="D248" s="13">
        <v>41150</v>
      </c>
      <c r="E248" s="1" t="s">
        <v>211</v>
      </c>
      <c r="F248" s="14">
        <v>53152</v>
      </c>
      <c r="G248" s="14">
        <v>170760</v>
      </c>
      <c r="H248" s="14">
        <v>248023</v>
      </c>
      <c r="I248" s="14">
        <v>334501</v>
      </c>
      <c r="J248" s="14">
        <v>445557</v>
      </c>
      <c r="K248" s="14">
        <v>1431183</v>
      </c>
      <c r="L248" s="14">
        <v>1431583</v>
      </c>
      <c r="M248" s="14">
        <v>1512027</v>
      </c>
      <c r="N248" s="14">
        <v>1550464</v>
      </c>
      <c r="O248" s="14">
        <v>1623676</v>
      </c>
      <c r="P248" s="14">
        <v>1726695</v>
      </c>
      <c r="Q248" s="14">
        <v>2453796</v>
      </c>
      <c r="R248" s="15">
        <v>0.01</v>
      </c>
      <c r="S248" s="11">
        <f t="shared" si="0"/>
        <v>1513622.6300000001</v>
      </c>
      <c r="T248" s="1" t="str">
        <f t="shared" si="1"/>
        <v>YES</v>
      </c>
      <c r="U248" s="15">
        <v>0.75</v>
      </c>
      <c r="V248" s="11">
        <f t="shared" si="8"/>
        <v>1135216.9725000001</v>
      </c>
      <c r="W248" s="1" t="str">
        <f t="shared" si="9"/>
        <v>Yes</v>
      </c>
      <c r="X248" s="1"/>
      <c r="Y248" s="1"/>
      <c r="Z248" s="1"/>
      <c r="AA248" s="1"/>
    </row>
    <row r="249" spans="1:27" ht="14.4" x14ac:dyDescent="0.3">
      <c r="A249" s="1"/>
      <c r="B249" s="1"/>
      <c r="C249" s="1"/>
      <c r="D249" s="13">
        <v>41170</v>
      </c>
      <c r="E249" s="1" t="s">
        <v>213</v>
      </c>
      <c r="F249" s="14">
        <v>574900</v>
      </c>
      <c r="G249" s="14">
        <v>977762</v>
      </c>
      <c r="H249" s="14">
        <v>1258996</v>
      </c>
      <c r="I249" s="14">
        <v>1584260</v>
      </c>
      <c r="J249" s="14">
        <v>2145902</v>
      </c>
      <c r="K249" s="14">
        <v>2742021</v>
      </c>
      <c r="L249" s="14">
        <v>3215567</v>
      </c>
      <c r="M249" s="14">
        <v>3662895</v>
      </c>
      <c r="N249" s="14">
        <v>4252882</v>
      </c>
      <c r="O249" s="14">
        <v>4684915</v>
      </c>
      <c r="P249" s="14">
        <v>5313825</v>
      </c>
      <c r="Q249" s="14">
        <v>5829116</v>
      </c>
      <c r="R249" s="15">
        <v>0.01</v>
      </c>
      <c r="S249" s="11">
        <f t="shared" si="0"/>
        <v>1513622.6300000001</v>
      </c>
      <c r="T249" s="1" t="str">
        <f t="shared" si="1"/>
        <v>YES</v>
      </c>
      <c r="U249" s="15">
        <v>0.75</v>
      </c>
      <c r="V249" s="11">
        <f t="shared" si="8"/>
        <v>1135216.9725000001</v>
      </c>
      <c r="W249" s="1" t="str">
        <f t="shared" si="9"/>
        <v>Yes</v>
      </c>
      <c r="X249" s="1"/>
      <c r="Y249" s="1"/>
      <c r="Z249" s="1"/>
      <c r="AA249" s="1"/>
    </row>
    <row r="250" spans="1:27" ht="14.4" x14ac:dyDescent="0.3">
      <c r="A250" s="1"/>
      <c r="B250" s="1"/>
      <c r="C250" s="1"/>
      <c r="D250" s="13">
        <v>41180</v>
      </c>
      <c r="E250" s="1" t="s">
        <v>214</v>
      </c>
      <c r="F250" s="14">
        <v>88560</v>
      </c>
      <c r="G250" s="14">
        <v>126731</v>
      </c>
      <c r="H250" s="14">
        <v>202828</v>
      </c>
      <c r="I250" s="14">
        <v>270252</v>
      </c>
      <c r="J250" s="14">
        <v>341517</v>
      </c>
      <c r="K250" s="14">
        <v>408623</v>
      </c>
      <c r="L250" s="14">
        <v>519216</v>
      </c>
      <c r="M250" s="14">
        <v>617902</v>
      </c>
      <c r="N250" s="14">
        <v>696792</v>
      </c>
      <c r="O250" s="14">
        <v>781219</v>
      </c>
      <c r="P250" s="14">
        <v>813870</v>
      </c>
      <c r="Q250" s="14">
        <v>888987</v>
      </c>
      <c r="R250" s="15">
        <v>0.01</v>
      </c>
      <c r="S250" s="11">
        <f t="shared" si="0"/>
        <v>1513622.6300000001</v>
      </c>
      <c r="T250" s="1" t="str">
        <f t="shared" si="1"/>
        <v>NO</v>
      </c>
      <c r="U250" s="15">
        <v>0.75</v>
      </c>
      <c r="V250" s="11">
        <f t="shared" si="8"/>
        <v>1135216.9725000001</v>
      </c>
      <c r="W250" s="1" t="str">
        <f t="shared" si="9"/>
        <v>No</v>
      </c>
      <c r="X250" s="1"/>
      <c r="Y250" s="1"/>
      <c r="Z250" s="1"/>
      <c r="AA250" s="1"/>
    </row>
    <row r="251" spans="1:27" ht="14.4" x14ac:dyDescent="0.3">
      <c r="A251" s="1"/>
      <c r="B251" s="1"/>
      <c r="C251" s="1"/>
      <c r="D251" s="13">
        <v>41182</v>
      </c>
      <c r="E251" s="1" t="s">
        <v>215</v>
      </c>
      <c r="F251" s="14">
        <v>-2760</v>
      </c>
      <c r="G251" s="14">
        <v>-2760</v>
      </c>
      <c r="H251" s="14">
        <v>-2754</v>
      </c>
      <c r="I251" s="14">
        <v>-6533</v>
      </c>
      <c r="J251" s="14">
        <v>-6527</v>
      </c>
      <c r="K251" s="14">
        <v>-7207</v>
      </c>
      <c r="L251" s="14">
        <v>-7198</v>
      </c>
      <c r="M251" s="14">
        <v>-11451</v>
      </c>
      <c r="N251" s="14">
        <v>-13276</v>
      </c>
      <c r="O251" s="14">
        <v>-13276</v>
      </c>
      <c r="P251" s="14">
        <v>-13276</v>
      </c>
      <c r="Q251" s="14">
        <v>-13276</v>
      </c>
      <c r="R251" s="15">
        <v>0.01</v>
      </c>
      <c r="S251" s="11">
        <f t="shared" si="0"/>
        <v>1513622.6300000001</v>
      </c>
      <c r="T251" s="1" t="str">
        <f t="shared" si="1"/>
        <v>NO</v>
      </c>
      <c r="U251" s="15">
        <v>0.75</v>
      </c>
      <c r="V251" s="11">
        <f t="shared" si="8"/>
        <v>1135216.9725000001</v>
      </c>
      <c r="W251" s="1" t="str">
        <f t="shared" si="9"/>
        <v>No</v>
      </c>
      <c r="X251" s="1"/>
      <c r="Y251" s="1"/>
      <c r="Z251" s="1"/>
      <c r="AA251" s="1"/>
    </row>
    <row r="252" spans="1:27" ht="14.4" x14ac:dyDescent="0.3">
      <c r="A252" s="1"/>
      <c r="B252" s="1"/>
      <c r="C252" s="1"/>
      <c r="D252" s="13">
        <v>41183</v>
      </c>
      <c r="E252" s="1" t="s">
        <v>216</v>
      </c>
      <c r="F252" s="1"/>
      <c r="G252" s="1"/>
      <c r="H252" s="1"/>
      <c r="I252" s="1"/>
      <c r="J252" s="1"/>
      <c r="K252" s="14">
        <v>-6306</v>
      </c>
      <c r="L252" s="14">
        <v>-17109</v>
      </c>
      <c r="M252" s="14">
        <v>-17109</v>
      </c>
      <c r="N252" s="14">
        <v>-17109</v>
      </c>
      <c r="O252" s="14">
        <v>-17109</v>
      </c>
      <c r="P252" s="14">
        <v>-23412</v>
      </c>
      <c r="Q252" s="14">
        <v>-17109</v>
      </c>
      <c r="R252" s="15">
        <v>0.01</v>
      </c>
      <c r="S252" s="11">
        <f t="shared" si="0"/>
        <v>1513622.6300000001</v>
      </c>
      <c r="T252" s="1" t="str">
        <f t="shared" si="1"/>
        <v>NO</v>
      </c>
      <c r="U252" s="15">
        <v>0.75</v>
      </c>
      <c r="V252" s="11">
        <f t="shared" si="8"/>
        <v>1135216.9725000001</v>
      </c>
      <c r="W252" s="1" t="str">
        <f t="shared" si="9"/>
        <v>No</v>
      </c>
      <c r="X252" s="1"/>
      <c r="Y252" s="1"/>
      <c r="Z252" s="1"/>
      <c r="AA252" s="1"/>
    </row>
    <row r="253" spans="1:27" ht="14.4" x14ac:dyDescent="0.3">
      <c r="A253" s="1"/>
      <c r="B253" s="1"/>
      <c r="C253" s="1"/>
      <c r="D253" s="13">
        <v>41190</v>
      </c>
      <c r="E253" s="1" t="s">
        <v>217</v>
      </c>
      <c r="F253" s="14">
        <v>1487390</v>
      </c>
      <c r="G253" s="14">
        <v>3022289</v>
      </c>
      <c r="H253" s="14">
        <v>4518265</v>
      </c>
      <c r="I253" s="14">
        <v>5936536</v>
      </c>
      <c r="J253" s="14">
        <v>7929666</v>
      </c>
      <c r="K253" s="14">
        <v>9437872</v>
      </c>
      <c r="L253" s="14">
        <v>11349079</v>
      </c>
      <c r="M253" s="14">
        <v>13565452</v>
      </c>
      <c r="N253" s="14">
        <v>15543963</v>
      </c>
      <c r="O253" s="14">
        <v>17367886</v>
      </c>
      <c r="P253" s="14">
        <v>18894922</v>
      </c>
      <c r="Q253" s="14">
        <v>19776595</v>
      </c>
      <c r="R253" s="15">
        <v>0.01</v>
      </c>
      <c r="S253" s="11">
        <f t="shared" si="0"/>
        <v>1513622.6300000001</v>
      </c>
      <c r="T253" s="1" t="str">
        <f t="shared" si="1"/>
        <v>YES</v>
      </c>
      <c r="U253" s="15">
        <v>0.75</v>
      </c>
      <c r="V253" s="11">
        <f t="shared" si="8"/>
        <v>1135216.9725000001</v>
      </c>
      <c r="W253" s="1" t="str">
        <f t="shared" si="9"/>
        <v>Yes</v>
      </c>
      <c r="X253" s="1"/>
      <c r="Y253" s="1"/>
      <c r="Z253" s="1"/>
      <c r="AA253" s="1"/>
    </row>
    <row r="254" spans="1:27" ht="14.4" x14ac:dyDescent="0.3">
      <c r="A254" s="1"/>
      <c r="B254" s="1"/>
      <c r="C254" s="1"/>
      <c r="D254" s="13">
        <v>41310</v>
      </c>
      <c r="E254" s="1" t="s">
        <v>218</v>
      </c>
      <c r="F254" s="14">
        <v>337909</v>
      </c>
      <c r="G254" s="14">
        <v>1159958</v>
      </c>
      <c r="H254" s="14">
        <v>2280771</v>
      </c>
      <c r="I254" s="14">
        <v>3045387</v>
      </c>
      <c r="J254" s="14">
        <v>4273734</v>
      </c>
      <c r="K254" s="14">
        <v>5203818</v>
      </c>
      <c r="L254" s="14">
        <v>6134840</v>
      </c>
      <c r="M254" s="14">
        <v>6947092</v>
      </c>
      <c r="N254" s="14">
        <v>8002099</v>
      </c>
      <c r="O254" s="14">
        <v>8908998</v>
      </c>
      <c r="P254" s="14">
        <v>9604626</v>
      </c>
      <c r="Q254" s="14">
        <v>10095206</v>
      </c>
      <c r="R254" s="15">
        <v>0.01</v>
      </c>
      <c r="S254" s="11">
        <f t="shared" si="0"/>
        <v>1513622.6300000001</v>
      </c>
      <c r="T254" s="1" t="str">
        <f t="shared" si="1"/>
        <v>YES</v>
      </c>
      <c r="U254" s="15">
        <v>0.75</v>
      </c>
      <c r="V254" s="11">
        <f t="shared" si="8"/>
        <v>1135216.9725000001</v>
      </c>
      <c r="W254" s="1" t="str">
        <f t="shared" si="9"/>
        <v>Yes</v>
      </c>
      <c r="X254" s="1"/>
      <c r="Y254" s="1"/>
      <c r="Z254" s="1"/>
      <c r="AA254" s="1"/>
    </row>
    <row r="255" spans="1:27" ht="14.4" x14ac:dyDescent="0.3">
      <c r="A255" s="1"/>
      <c r="B255" s="1"/>
      <c r="C255" s="1"/>
      <c r="D255" s="13">
        <v>41320</v>
      </c>
      <c r="E255" s="1" t="s">
        <v>219</v>
      </c>
      <c r="F255" s="14">
        <v>421546</v>
      </c>
      <c r="G255" s="14">
        <v>836578</v>
      </c>
      <c r="H255" s="14">
        <v>1741230</v>
      </c>
      <c r="I255" s="14">
        <v>3327792</v>
      </c>
      <c r="J255" s="14">
        <v>4369789</v>
      </c>
      <c r="K255" s="14">
        <v>5745494</v>
      </c>
      <c r="L255" s="14">
        <v>6742579</v>
      </c>
      <c r="M255" s="14">
        <v>6865509</v>
      </c>
      <c r="N255" s="14">
        <v>7107641</v>
      </c>
      <c r="O255" s="14">
        <v>7658377</v>
      </c>
      <c r="P255" s="14">
        <v>8286571</v>
      </c>
      <c r="Q255" s="14">
        <v>14942682</v>
      </c>
      <c r="R255" s="15">
        <v>0.01</v>
      </c>
      <c r="S255" s="11">
        <f t="shared" si="0"/>
        <v>1513622.6300000001</v>
      </c>
      <c r="T255" s="1" t="str">
        <f t="shared" si="1"/>
        <v>YES</v>
      </c>
      <c r="U255" s="15">
        <v>0.75</v>
      </c>
      <c r="V255" s="11">
        <f t="shared" si="8"/>
        <v>1135216.9725000001</v>
      </c>
      <c r="W255" s="1" t="str">
        <f t="shared" si="9"/>
        <v>Yes</v>
      </c>
      <c r="X255" s="1"/>
      <c r="Y255" s="1"/>
      <c r="Z255" s="1"/>
      <c r="AA255" s="1"/>
    </row>
    <row r="256" spans="1:27" ht="14.4" x14ac:dyDescent="0.3">
      <c r="A256" s="1"/>
      <c r="B256" s="1"/>
      <c r="C256" s="1"/>
      <c r="D256" s="13">
        <v>41330</v>
      </c>
      <c r="E256" s="1" t="s">
        <v>220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4">
        <v>-223809</v>
      </c>
      <c r="R256" s="15">
        <v>0.01</v>
      </c>
      <c r="S256" s="11">
        <f t="shared" si="0"/>
        <v>1513622.6300000001</v>
      </c>
      <c r="T256" s="1" t="str">
        <f t="shared" si="1"/>
        <v>NO</v>
      </c>
      <c r="U256" s="15">
        <v>0.75</v>
      </c>
      <c r="V256" s="11">
        <f t="shared" si="8"/>
        <v>1135216.9725000001</v>
      </c>
      <c r="W256" s="1" t="str">
        <f t="shared" si="9"/>
        <v>No</v>
      </c>
      <c r="X256" s="1"/>
      <c r="Y256" s="1"/>
      <c r="Z256" s="1"/>
      <c r="AA256" s="1"/>
    </row>
    <row r="257" spans="1:27" ht="14.4" x14ac:dyDescent="0.3">
      <c r="A257" s="1"/>
      <c r="B257" s="1"/>
      <c r="C257" s="1"/>
      <c r="D257" s="13">
        <v>41340</v>
      </c>
      <c r="E257" s="1" t="s">
        <v>221</v>
      </c>
      <c r="F257" s="14">
        <v>6415</v>
      </c>
      <c r="G257" s="14">
        <v>15978</v>
      </c>
      <c r="H257" s="14">
        <v>24727</v>
      </c>
      <c r="I257" s="14">
        <v>46575</v>
      </c>
      <c r="J257" s="14">
        <v>45771</v>
      </c>
      <c r="K257" s="14">
        <v>56349</v>
      </c>
      <c r="L257" s="14">
        <v>69756</v>
      </c>
      <c r="M257" s="14">
        <v>75020</v>
      </c>
      <c r="N257" s="14">
        <v>77742</v>
      </c>
      <c r="O257" s="14">
        <v>88680</v>
      </c>
      <c r="P257" s="14">
        <v>89580</v>
      </c>
      <c r="Q257" s="14">
        <v>91560</v>
      </c>
      <c r="R257" s="15">
        <v>0.01</v>
      </c>
      <c r="S257" s="11">
        <f t="shared" si="0"/>
        <v>1513622.6300000001</v>
      </c>
      <c r="T257" s="1" t="str">
        <f t="shared" si="1"/>
        <v>NO</v>
      </c>
      <c r="U257" s="15">
        <v>0.75</v>
      </c>
      <c r="V257" s="11">
        <f t="shared" si="8"/>
        <v>1135216.9725000001</v>
      </c>
      <c r="W257" s="1" t="str">
        <f t="shared" si="9"/>
        <v>No</v>
      </c>
      <c r="X257" s="1"/>
      <c r="Y257" s="1"/>
      <c r="Z257" s="1"/>
      <c r="AA257" s="1"/>
    </row>
    <row r="258" spans="1:27" ht="14.4" x14ac:dyDescent="0.3">
      <c r="A258" s="1"/>
      <c r="B258" s="1"/>
      <c r="C258" s="1"/>
      <c r="D258" s="13">
        <v>42100</v>
      </c>
      <c r="E258" s="1" t="s">
        <v>222</v>
      </c>
      <c r="F258" s="14">
        <v>-235163</v>
      </c>
      <c r="G258" s="14">
        <v>-426009</v>
      </c>
      <c r="H258" s="14">
        <v>-659698</v>
      </c>
      <c r="I258" s="14">
        <v>-1486225</v>
      </c>
      <c r="J258" s="14">
        <v>-2339386</v>
      </c>
      <c r="K258" s="14">
        <v>-3098981</v>
      </c>
      <c r="L258" s="14">
        <v>-3946600</v>
      </c>
      <c r="M258" s="14">
        <v>-4724042</v>
      </c>
      <c r="N258" s="14">
        <v>-5510857</v>
      </c>
      <c r="O258" s="14">
        <v>-6371032</v>
      </c>
      <c r="P258" s="14">
        <v>-6887154</v>
      </c>
      <c r="Q258" s="14">
        <v>-7090099</v>
      </c>
      <c r="R258" s="15">
        <v>0.01</v>
      </c>
      <c r="S258" s="11">
        <f t="shared" si="0"/>
        <v>1513622.6300000001</v>
      </c>
      <c r="T258" s="1" t="str">
        <f t="shared" si="1"/>
        <v>YES</v>
      </c>
      <c r="U258" s="15">
        <v>0.75</v>
      </c>
      <c r="V258" s="11">
        <f t="shared" si="8"/>
        <v>1135216.9725000001</v>
      </c>
      <c r="W258" s="1" t="str">
        <f t="shared" si="9"/>
        <v>Yes</v>
      </c>
      <c r="X258" s="1"/>
      <c r="Y258" s="1"/>
      <c r="Z258" s="1"/>
      <c r="AA258" s="1"/>
    </row>
    <row r="259" spans="1:27" ht="14.4" x14ac:dyDescent="0.3">
      <c r="A259" s="1"/>
      <c r="B259" s="1"/>
      <c r="C259" s="1"/>
      <c r="D259" s="13">
        <v>43100</v>
      </c>
      <c r="E259" s="1" t="s">
        <v>223</v>
      </c>
      <c r="F259" s="14">
        <v>-47667706</v>
      </c>
      <c r="G259" s="14">
        <v>-91533142</v>
      </c>
      <c r="H259" s="14">
        <v>-137253757</v>
      </c>
      <c r="I259" s="14">
        <v>-183877804</v>
      </c>
      <c r="J259" s="14">
        <v>-234702350</v>
      </c>
      <c r="K259" s="14">
        <v>-284240460</v>
      </c>
      <c r="L259" s="14">
        <v>-334562933</v>
      </c>
      <c r="M259" s="14">
        <v>-389575146</v>
      </c>
      <c r="N259" s="14">
        <v>-449062869</v>
      </c>
      <c r="O259" s="14">
        <v>-515371384</v>
      </c>
      <c r="P259" s="14">
        <v>-577087940</v>
      </c>
      <c r="Q259" s="14">
        <v>-635900949</v>
      </c>
      <c r="R259" s="15">
        <v>0.01</v>
      </c>
      <c r="S259" s="11">
        <f t="shared" si="0"/>
        <v>1513622.6300000001</v>
      </c>
      <c r="T259" s="1" t="str">
        <f t="shared" si="1"/>
        <v>YES</v>
      </c>
      <c r="U259" s="15">
        <v>0.75</v>
      </c>
      <c r="V259" s="11">
        <f t="shared" si="8"/>
        <v>1135216.9725000001</v>
      </c>
      <c r="W259" s="1" t="str">
        <f t="shared" si="9"/>
        <v>Yes</v>
      </c>
      <c r="X259" s="1"/>
      <c r="Y259" s="1"/>
      <c r="Z259" s="1"/>
      <c r="AA259" s="1"/>
    </row>
    <row r="260" spans="1:27" ht="14.4" x14ac:dyDescent="0.3">
      <c r="A260" s="1"/>
      <c r="B260" s="1"/>
      <c r="C260" s="1"/>
      <c r="D260" s="13">
        <v>43200</v>
      </c>
      <c r="E260" s="1" t="s">
        <v>224</v>
      </c>
      <c r="F260" s="13">
        <v>-227</v>
      </c>
      <c r="G260" s="13">
        <v>-365</v>
      </c>
      <c r="H260" s="13">
        <v>-647</v>
      </c>
      <c r="I260" s="14">
        <v>5723</v>
      </c>
      <c r="J260" s="14">
        <v>5459</v>
      </c>
      <c r="K260" s="14">
        <v>5172</v>
      </c>
      <c r="L260" s="14">
        <v>4912</v>
      </c>
      <c r="M260" s="14">
        <v>4467</v>
      </c>
      <c r="N260" s="14">
        <v>4192</v>
      </c>
      <c r="O260" s="14">
        <v>3895</v>
      </c>
      <c r="P260" s="14">
        <v>3696</v>
      </c>
      <c r="Q260" s="14">
        <v>3553</v>
      </c>
      <c r="R260" s="15">
        <v>0.01</v>
      </c>
      <c r="S260" s="11">
        <f t="shared" si="0"/>
        <v>1513622.6300000001</v>
      </c>
      <c r="T260" s="1" t="str">
        <f t="shared" si="1"/>
        <v>NO</v>
      </c>
      <c r="U260" s="15">
        <v>0.75</v>
      </c>
      <c r="V260" s="11">
        <f t="shared" si="8"/>
        <v>1135216.9725000001</v>
      </c>
      <c r="W260" s="1" t="str">
        <f t="shared" si="9"/>
        <v>No</v>
      </c>
      <c r="X260" s="1"/>
      <c r="Y260" s="1"/>
      <c r="Z260" s="1"/>
      <c r="AA260" s="1"/>
    </row>
    <row r="261" spans="1:27" ht="14.4" x14ac:dyDescent="0.3">
      <c r="A261" s="1"/>
      <c r="B261" s="1"/>
      <c r="C261" s="1"/>
      <c r="D261" s="13">
        <v>50110</v>
      </c>
      <c r="E261" s="1" t="s">
        <v>225</v>
      </c>
      <c r="F261" s="14">
        <v>3173</v>
      </c>
      <c r="G261" s="14">
        <v>8112</v>
      </c>
      <c r="H261" s="14">
        <v>13247</v>
      </c>
      <c r="I261" s="14">
        <v>41162</v>
      </c>
      <c r="J261" s="14">
        <v>57200</v>
      </c>
      <c r="K261" s="14">
        <v>87109</v>
      </c>
      <c r="L261" s="14">
        <v>122199</v>
      </c>
      <c r="M261" s="14">
        <v>155818</v>
      </c>
      <c r="N261" s="14">
        <v>194877</v>
      </c>
      <c r="O261" s="14">
        <v>243589</v>
      </c>
      <c r="P261" s="14">
        <v>257194</v>
      </c>
      <c r="Q261" s="14">
        <v>281081</v>
      </c>
      <c r="R261" s="15">
        <v>0.01</v>
      </c>
      <c r="S261" s="11">
        <f t="shared" si="0"/>
        <v>1513622.6300000001</v>
      </c>
      <c r="T261" s="1" t="str">
        <f t="shared" si="1"/>
        <v>NO</v>
      </c>
      <c r="U261" s="15">
        <v>0.75</v>
      </c>
      <c r="V261" s="11">
        <f t="shared" si="8"/>
        <v>1135216.9725000001</v>
      </c>
      <c r="W261" s="1" t="str">
        <f t="shared" si="9"/>
        <v>No</v>
      </c>
      <c r="X261" s="1"/>
      <c r="Y261" s="1"/>
      <c r="Z261" s="1"/>
      <c r="AA261" s="1"/>
    </row>
    <row r="262" spans="1:27" ht="14.4" x14ac:dyDescent="0.3">
      <c r="A262" s="1"/>
      <c r="B262" s="1"/>
      <c r="C262" s="1"/>
      <c r="D262" s="13">
        <v>50115</v>
      </c>
      <c r="E262" s="1" t="s">
        <v>225</v>
      </c>
      <c r="F262" s="14">
        <v>29687590</v>
      </c>
      <c r="G262" s="14">
        <v>57112971</v>
      </c>
      <c r="H262" s="14">
        <v>85942940</v>
      </c>
      <c r="I262" s="14">
        <v>116335012</v>
      </c>
      <c r="J262" s="14">
        <v>149289291</v>
      </c>
      <c r="K262" s="14">
        <v>179872698</v>
      </c>
      <c r="L262" s="14">
        <v>210713425</v>
      </c>
      <c r="M262" s="14">
        <v>243484417</v>
      </c>
      <c r="N262" s="14">
        <v>282297655</v>
      </c>
      <c r="O262" s="14">
        <v>326079785</v>
      </c>
      <c r="P262" s="14">
        <v>366984639</v>
      </c>
      <c r="Q262" s="14">
        <v>406270759</v>
      </c>
      <c r="R262" s="15">
        <v>0.01</v>
      </c>
      <c r="S262" s="11">
        <f t="shared" si="0"/>
        <v>1513622.6300000001</v>
      </c>
      <c r="T262" s="1" t="str">
        <f t="shared" si="1"/>
        <v>YES</v>
      </c>
      <c r="U262" s="15">
        <v>0.75</v>
      </c>
      <c r="V262" s="11">
        <f t="shared" si="8"/>
        <v>1135216.9725000001</v>
      </c>
      <c r="W262" s="1" t="str">
        <f t="shared" si="9"/>
        <v>Yes</v>
      </c>
      <c r="X262" s="1"/>
      <c r="Y262" s="1"/>
      <c r="Z262" s="1"/>
      <c r="AA262" s="1"/>
    </row>
    <row r="263" spans="1:27" ht="14.4" x14ac:dyDescent="0.3">
      <c r="A263" s="1"/>
      <c r="B263" s="1"/>
      <c r="C263" s="1"/>
      <c r="D263" s="13">
        <v>50120</v>
      </c>
      <c r="E263" s="1" t="s">
        <v>226</v>
      </c>
      <c r="F263" s="14">
        <v>3510</v>
      </c>
      <c r="G263" s="14">
        <v>3942</v>
      </c>
      <c r="H263" s="14">
        <v>9870</v>
      </c>
      <c r="I263" s="14">
        <v>10164</v>
      </c>
      <c r="J263" s="14">
        <v>11464</v>
      </c>
      <c r="K263" s="14">
        <v>12875</v>
      </c>
      <c r="L263" s="14">
        <v>12875</v>
      </c>
      <c r="M263" s="14">
        <v>16447</v>
      </c>
      <c r="N263" s="14">
        <v>23026</v>
      </c>
      <c r="O263" s="14">
        <v>57699</v>
      </c>
      <c r="P263" s="14">
        <v>64483</v>
      </c>
      <c r="Q263" s="14">
        <v>82559</v>
      </c>
      <c r="R263" s="15">
        <v>0.01</v>
      </c>
      <c r="S263" s="11">
        <f t="shared" si="0"/>
        <v>1513622.6300000001</v>
      </c>
      <c r="T263" s="1" t="str">
        <f t="shared" si="1"/>
        <v>NO</v>
      </c>
      <c r="U263" s="15">
        <v>0.75</v>
      </c>
      <c r="V263" s="11">
        <f t="shared" si="8"/>
        <v>1135216.9725000001</v>
      </c>
      <c r="W263" s="1" t="str">
        <f t="shared" si="9"/>
        <v>No</v>
      </c>
      <c r="X263" s="1"/>
      <c r="Y263" s="1"/>
      <c r="Z263" s="1"/>
      <c r="AA263" s="1"/>
    </row>
    <row r="264" spans="1:27" ht="14.4" x14ac:dyDescent="0.3">
      <c r="A264" s="1"/>
      <c r="B264" s="1"/>
      <c r="C264" s="1"/>
      <c r="D264" s="13">
        <v>50130</v>
      </c>
      <c r="E264" s="1" t="s">
        <v>226</v>
      </c>
      <c r="F264" s="14">
        <v>-5190</v>
      </c>
      <c r="G264" s="14">
        <v>62910</v>
      </c>
      <c r="H264" s="14">
        <v>124633</v>
      </c>
      <c r="I264" s="14">
        <v>174205</v>
      </c>
      <c r="J264" s="14">
        <v>139398</v>
      </c>
      <c r="K264" s="14">
        <v>128850</v>
      </c>
      <c r="L264" s="14">
        <v>132930</v>
      </c>
      <c r="M264" s="14">
        <v>152210</v>
      </c>
      <c r="N264" s="14">
        <v>164450</v>
      </c>
      <c r="O264" s="14">
        <v>217150</v>
      </c>
      <c r="P264" s="14">
        <v>281400</v>
      </c>
      <c r="Q264" s="14">
        <v>417110</v>
      </c>
      <c r="R264" s="15">
        <v>0.01</v>
      </c>
      <c r="S264" s="11">
        <f t="shared" si="0"/>
        <v>1513622.6300000001</v>
      </c>
      <c r="T264" s="1" t="str">
        <f t="shared" si="1"/>
        <v>NO</v>
      </c>
      <c r="U264" s="15">
        <v>0.75</v>
      </c>
      <c r="V264" s="11">
        <f t="shared" si="8"/>
        <v>1135216.9725000001</v>
      </c>
      <c r="W264" s="1" t="str">
        <f t="shared" si="9"/>
        <v>No</v>
      </c>
      <c r="X264" s="1"/>
      <c r="Y264" s="1"/>
      <c r="Z264" s="1"/>
      <c r="AA264" s="1"/>
    </row>
    <row r="265" spans="1:27" ht="14.4" x14ac:dyDescent="0.3">
      <c r="A265" s="1"/>
      <c r="B265" s="1"/>
      <c r="C265" s="1"/>
      <c r="D265" s="13">
        <v>50200</v>
      </c>
      <c r="E265" s="1" t="s">
        <v>227</v>
      </c>
      <c r="F265" s="14">
        <v>65131</v>
      </c>
      <c r="G265" s="14">
        <v>101738</v>
      </c>
      <c r="H265" s="14">
        <v>152572</v>
      </c>
      <c r="I265" s="14">
        <v>252718</v>
      </c>
      <c r="J265" s="14">
        <v>252718</v>
      </c>
      <c r="K265" s="14">
        <v>314258</v>
      </c>
      <c r="L265" s="14">
        <v>374819</v>
      </c>
      <c r="M265" s="14">
        <v>455774</v>
      </c>
      <c r="N265" s="14">
        <v>564840</v>
      </c>
      <c r="O265" s="14">
        <v>609967</v>
      </c>
      <c r="P265" s="14">
        <v>690426</v>
      </c>
      <c r="Q265" s="14">
        <v>743817</v>
      </c>
      <c r="R265" s="15">
        <v>0.01</v>
      </c>
      <c r="S265" s="11">
        <f t="shared" si="0"/>
        <v>1513622.6300000001</v>
      </c>
      <c r="T265" s="1" t="str">
        <f t="shared" si="1"/>
        <v>NO</v>
      </c>
      <c r="U265" s="15">
        <v>0.75</v>
      </c>
      <c r="V265" s="11">
        <f t="shared" si="8"/>
        <v>1135216.9725000001</v>
      </c>
      <c r="W265" s="1" t="str">
        <f t="shared" si="9"/>
        <v>No</v>
      </c>
      <c r="X265" s="1"/>
      <c r="Y265" s="1"/>
      <c r="Z265" s="1"/>
      <c r="AA265" s="1"/>
    </row>
    <row r="266" spans="1:27" ht="14.4" x14ac:dyDescent="0.3">
      <c r="A266" s="1"/>
      <c r="B266" s="1"/>
      <c r="C266" s="1"/>
      <c r="D266" s="13">
        <v>50210</v>
      </c>
      <c r="E266" s="1" t="s">
        <v>225</v>
      </c>
      <c r="F266" s="14">
        <v>-5063336</v>
      </c>
      <c r="G266" s="14">
        <v>-5527838</v>
      </c>
      <c r="H266" s="14">
        <v>-5237878</v>
      </c>
      <c r="I266" s="14">
        <v>-5714077</v>
      </c>
      <c r="J266" s="14">
        <v>-7800816</v>
      </c>
      <c r="K266" s="14">
        <v>-9196277</v>
      </c>
      <c r="L266" s="14">
        <v>-10469702</v>
      </c>
      <c r="M266" s="14">
        <v>-12363996</v>
      </c>
      <c r="N266" s="14">
        <v>-14722679</v>
      </c>
      <c r="O266" s="14">
        <v>-16005012</v>
      </c>
      <c r="P266" s="14">
        <v>-19168139</v>
      </c>
      <c r="Q266" s="14">
        <v>-18526245</v>
      </c>
      <c r="R266" s="15">
        <v>0.01</v>
      </c>
      <c r="S266" s="11">
        <f t="shared" si="0"/>
        <v>1513622.6300000001</v>
      </c>
      <c r="T266" s="1" t="str">
        <f t="shared" si="1"/>
        <v>YES</v>
      </c>
      <c r="U266" s="15">
        <v>0.75</v>
      </c>
      <c r="V266" s="11">
        <f t="shared" si="8"/>
        <v>1135216.9725000001</v>
      </c>
      <c r="W266" s="1" t="str">
        <f t="shared" si="9"/>
        <v>Yes</v>
      </c>
      <c r="X266" s="1"/>
      <c r="Y266" s="1"/>
      <c r="Z266" s="1"/>
      <c r="AA266" s="1"/>
    </row>
    <row r="267" spans="1:27" ht="14.4" x14ac:dyDescent="0.3">
      <c r="A267" s="1"/>
      <c r="B267" s="1"/>
      <c r="C267" s="1"/>
      <c r="D267" s="13">
        <v>50220</v>
      </c>
      <c r="E267" s="1" t="s">
        <v>225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4">
        <v>-7554</v>
      </c>
      <c r="R267" s="15">
        <v>0.01</v>
      </c>
      <c r="S267" s="11">
        <f t="shared" si="0"/>
        <v>1513622.6300000001</v>
      </c>
      <c r="T267" s="1" t="str">
        <f t="shared" si="1"/>
        <v>NO</v>
      </c>
      <c r="U267" s="15">
        <v>0.75</v>
      </c>
      <c r="V267" s="11">
        <f t="shared" si="8"/>
        <v>1135216.9725000001</v>
      </c>
      <c r="W267" s="1" t="str">
        <f t="shared" si="9"/>
        <v>No</v>
      </c>
      <c r="X267" s="1"/>
      <c r="Y267" s="1"/>
      <c r="Z267" s="1"/>
      <c r="AA267" s="1"/>
    </row>
    <row r="268" spans="1:27" ht="14.4" x14ac:dyDescent="0.3">
      <c r="A268" s="1"/>
      <c r="B268" s="1"/>
      <c r="C268" s="1"/>
      <c r="D268" s="13">
        <v>50310</v>
      </c>
      <c r="E268" s="1" t="s">
        <v>228</v>
      </c>
      <c r="F268" s="14">
        <v>7265851</v>
      </c>
      <c r="G268" s="14">
        <v>13787105</v>
      </c>
      <c r="H268" s="14">
        <v>20394672</v>
      </c>
      <c r="I268" s="14">
        <v>26716929</v>
      </c>
      <c r="J268" s="14">
        <v>33277807</v>
      </c>
      <c r="K268" s="14">
        <v>41278797</v>
      </c>
      <c r="L268" s="14">
        <v>48679504</v>
      </c>
      <c r="M268" s="14">
        <v>57485522</v>
      </c>
      <c r="N268" s="14">
        <v>64444492</v>
      </c>
      <c r="O268" s="14">
        <v>70851530</v>
      </c>
      <c r="P268" s="14">
        <v>77947821</v>
      </c>
      <c r="Q268" s="14">
        <v>85059670</v>
      </c>
      <c r="R268" s="15">
        <v>0.01</v>
      </c>
      <c r="S268" s="11">
        <f t="shared" ref="S268:S485" si="10">(R268*$T$8)*-1</f>
        <v>1513622.6300000001</v>
      </c>
      <c r="T268" s="1" t="str">
        <f t="shared" ref="T268:T485" si="11">IF(ABS(Q268)&gt;S268,"YES","NO")</f>
        <v>YES</v>
      </c>
      <c r="U268" s="15">
        <v>0.75</v>
      </c>
      <c r="V268" s="11">
        <f t="shared" si="8"/>
        <v>1135216.9725000001</v>
      </c>
      <c r="W268" s="1" t="str">
        <f t="shared" si="9"/>
        <v>Yes</v>
      </c>
      <c r="X268" s="1"/>
      <c r="Y268" s="1"/>
      <c r="Z268" s="1"/>
      <c r="AA268" s="1"/>
    </row>
    <row r="269" spans="1:27" ht="14.4" x14ac:dyDescent="0.3">
      <c r="A269" s="1"/>
      <c r="B269" s="1"/>
      <c r="C269" s="1"/>
      <c r="D269" s="13">
        <v>50316</v>
      </c>
      <c r="E269" s="1" t="s">
        <v>229</v>
      </c>
      <c r="F269" s="1"/>
      <c r="G269" s="1"/>
      <c r="H269" s="1"/>
      <c r="I269" s="1"/>
      <c r="J269" s="1"/>
      <c r="K269" s="1"/>
      <c r="L269" s="1"/>
      <c r="M269" s="1"/>
      <c r="N269" s="1"/>
      <c r="O269" s="14">
        <v>66712</v>
      </c>
      <c r="P269" s="14">
        <v>202560</v>
      </c>
      <c r="Q269" s="14">
        <v>381320</v>
      </c>
      <c r="R269" s="15">
        <v>0.01</v>
      </c>
      <c r="S269" s="11">
        <f t="shared" si="10"/>
        <v>1513622.6300000001</v>
      </c>
      <c r="T269" s="1" t="str">
        <f t="shared" si="11"/>
        <v>NO</v>
      </c>
      <c r="U269" s="15">
        <v>0.75</v>
      </c>
      <c r="V269" s="11">
        <f t="shared" si="8"/>
        <v>1135216.9725000001</v>
      </c>
      <c r="W269" s="1" t="str">
        <f t="shared" si="9"/>
        <v>No</v>
      </c>
      <c r="X269" s="1"/>
      <c r="Y269" s="1"/>
      <c r="Z269" s="1"/>
      <c r="AA269" s="1"/>
    </row>
    <row r="270" spans="1:27" ht="14.4" x14ac:dyDescent="0.3">
      <c r="A270" s="1"/>
      <c r="B270" s="1"/>
      <c r="C270" s="1"/>
      <c r="D270" s="13">
        <v>50320</v>
      </c>
      <c r="E270" s="1" t="s">
        <v>230</v>
      </c>
      <c r="F270" s="14">
        <v>1577571</v>
      </c>
      <c r="G270" s="14">
        <v>2958673</v>
      </c>
      <c r="H270" s="14">
        <v>4301523</v>
      </c>
      <c r="I270" s="14">
        <v>5562607</v>
      </c>
      <c r="J270" s="14">
        <v>6711984</v>
      </c>
      <c r="K270" s="14">
        <v>8163148</v>
      </c>
      <c r="L270" s="14">
        <v>9612293</v>
      </c>
      <c r="M270" s="14">
        <v>11279836</v>
      </c>
      <c r="N270" s="14">
        <v>12964848</v>
      </c>
      <c r="O270" s="14">
        <v>14410074</v>
      </c>
      <c r="P270" s="14">
        <v>16097314</v>
      </c>
      <c r="Q270" s="14">
        <v>17715640</v>
      </c>
      <c r="R270" s="15">
        <v>0.01</v>
      </c>
      <c r="S270" s="11">
        <f t="shared" si="10"/>
        <v>1513622.6300000001</v>
      </c>
      <c r="T270" s="1" t="str">
        <f t="shared" si="11"/>
        <v>YES</v>
      </c>
      <c r="U270" s="15">
        <v>0.75</v>
      </c>
      <c r="V270" s="11">
        <f t="shared" ref="V270:V333" si="12">S270*U270</f>
        <v>1135216.9725000001</v>
      </c>
      <c r="W270" s="1" t="str">
        <f t="shared" ref="W270:W333" si="13">IF(ABS(Q270)&gt;V270,"Yes","No")</f>
        <v>Yes</v>
      </c>
      <c r="X270" s="1"/>
      <c r="Y270" s="1"/>
      <c r="Z270" s="1"/>
      <c r="AA270" s="1"/>
    </row>
    <row r="271" spans="1:27" ht="14.4" x14ac:dyDescent="0.3">
      <c r="A271" s="1"/>
      <c r="B271" s="1"/>
      <c r="C271" s="1"/>
      <c r="D271" s="13">
        <v>51100</v>
      </c>
      <c r="E271" s="1" t="s">
        <v>231</v>
      </c>
      <c r="F271" s="14">
        <v>1024896</v>
      </c>
      <c r="G271" s="14">
        <v>1958491</v>
      </c>
      <c r="H271" s="14">
        <v>3018195</v>
      </c>
      <c r="I271" s="14">
        <v>4020152</v>
      </c>
      <c r="J271" s="14">
        <v>5185402</v>
      </c>
      <c r="K271" s="14">
        <v>6268702</v>
      </c>
      <c r="L271" s="14">
        <v>7533940</v>
      </c>
      <c r="M271" s="14">
        <v>8796225</v>
      </c>
      <c r="N271" s="14">
        <v>10148193</v>
      </c>
      <c r="O271" s="14">
        <v>11738237</v>
      </c>
      <c r="P271" s="14">
        <v>13566022</v>
      </c>
      <c r="Q271" s="14">
        <v>15594578</v>
      </c>
      <c r="R271" s="15">
        <v>0.01</v>
      </c>
      <c r="S271" s="11">
        <f t="shared" si="10"/>
        <v>1513622.6300000001</v>
      </c>
      <c r="T271" s="1" t="str">
        <f t="shared" si="11"/>
        <v>YES</v>
      </c>
      <c r="U271" s="15">
        <v>0.75</v>
      </c>
      <c r="V271" s="11">
        <f t="shared" si="12"/>
        <v>1135216.9725000001</v>
      </c>
      <c r="W271" s="1" t="str">
        <f t="shared" si="13"/>
        <v>Yes</v>
      </c>
      <c r="X271" s="1"/>
      <c r="Y271" s="1"/>
      <c r="Z271" s="1"/>
      <c r="AA271" s="1"/>
    </row>
    <row r="272" spans="1:27" ht="14.4" x14ac:dyDescent="0.3">
      <c r="A272" s="1"/>
      <c r="B272" s="1"/>
      <c r="C272" s="1"/>
      <c r="D272" s="13">
        <v>51150</v>
      </c>
      <c r="E272" s="1" t="s">
        <v>231</v>
      </c>
      <c r="F272" s="14">
        <v>364635</v>
      </c>
      <c r="G272" s="14">
        <v>752816</v>
      </c>
      <c r="H272" s="14">
        <v>1257316</v>
      </c>
      <c r="I272" s="14">
        <v>1657549</v>
      </c>
      <c r="J272" s="14">
        <v>2205474</v>
      </c>
      <c r="K272" s="14">
        <v>2670407</v>
      </c>
      <c r="L272" s="14">
        <v>3112387</v>
      </c>
      <c r="M272" s="14">
        <v>3722723</v>
      </c>
      <c r="N272" s="14">
        <v>4439725</v>
      </c>
      <c r="O272" s="14">
        <v>5215942</v>
      </c>
      <c r="P272" s="14">
        <v>6207038</v>
      </c>
      <c r="Q272" s="14">
        <v>7041955</v>
      </c>
      <c r="R272" s="15">
        <v>0.01</v>
      </c>
      <c r="S272" s="11">
        <f t="shared" si="10"/>
        <v>1513622.6300000001</v>
      </c>
      <c r="T272" s="1" t="str">
        <f t="shared" si="11"/>
        <v>YES</v>
      </c>
      <c r="U272" s="15">
        <v>0.75</v>
      </c>
      <c r="V272" s="11">
        <f t="shared" si="12"/>
        <v>1135216.9725000001</v>
      </c>
      <c r="W272" s="1" t="str">
        <f t="shared" si="13"/>
        <v>Yes</v>
      </c>
      <c r="X272" s="1"/>
      <c r="Y272" s="1"/>
      <c r="Z272" s="1"/>
      <c r="AA272" s="1"/>
    </row>
    <row r="273" spans="1:27" ht="14.4" x14ac:dyDescent="0.3">
      <c r="A273" s="1"/>
      <c r="B273" s="1"/>
      <c r="C273" s="1"/>
      <c r="D273" s="13">
        <v>51155</v>
      </c>
      <c r="E273" s="1" t="s">
        <v>231</v>
      </c>
      <c r="F273" s="14">
        <v>63183</v>
      </c>
      <c r="G273" s="14">
        <v>125103</v>
      </c>
      <c r="H273" s="14">
        <v>204379</v>
      </c>
      <c r="I273" s="14">
        <v>279552</v>
      </c>
      <c r="J273" s="14">
        <v>347948</v>
      </c>
      <c r="K273" s="14">
        <v>436580</v>
      </c>
      <c r="L273" s="14">
        <v>513043</v>
      </c>
      <c r="M273" s="14">
        <v>592231</v>
      </c>
      <c r="N273" s="14">
        <v>738945</v>
      </c>
      <c r="O273" s="14">
        <v>868863</v>
      </c>
      <c r="P273" s="14">
        <v>1002752</v>
      </c>
      <c r="Q273" s="14">
        <v>1081176</v>
      </c>
      <c r="R273" s="15">
        <v>0.01</v>
      </c>
      <c r="S273" s="11">
        <f t="shared" si="10"/>
        <v>1513622.6300000001</v>
      </c>
      <c r="T273" s="1" t="str">
        <f t="shared" si="11"/>
        <v>NO</v>
      </c>
      <c r="U273" s="15">
        <v>0.75</v>
      </c>
      <c r="V273" s="11">
        <f t="shared" si="12"/>
        <v>1135216.9725000001</v>
      </c>
      <c r="W273" s="1" t="str">
        <f t="shared" si="13"/>
        <v>No</v>
      </c>
      <c r="X273" s="1"/>
      <c r="Y273" s="1"/>
      <c r="Z273" s="1"/>
      <c r="AA273" s="1"/>
    </row>
    <row r="274" spans="1:27" ht="14.4" x14ac:dyDescent="0.3">
      <c r="A274" s="1"/>
      <c r="B274" s="1"/>
      <c r="C274" s="1"/>
      <c r="D274" s="13">
        <v>51156</v>
      </c>
      <c r="E274" s="1" t="s">
        <v>231</v>
      </c>
      <c r="F274" s="14">
        <v>120855</v>
      </c>
      <c r="G274" s="14">
        <v>261603</v>
      </c>
      <c r="H274" s="14">
        <v>438568</v>
      </c>
      <c r="I274" s="14">
        <v>598720</v>
      </c>
      <c r="J274" s="14">
        <v>1019861</v>
      </c>
      <c r="K274" s="14">
        <v>1221616</v>
      </c>
      <c r="L274" s="14">
        <v>1366603</v>
      </c>
      <c r="M274" s="14">
        <v>1608482</v>
      </c>
      <c r="N274" s="14">
        <v>1779622</v>
      </c>
      <c r="O274" s="14">
        <v>1934993</v>
      </c>
      <c r="P274" s="14">
        <v>2192309</v>
      </c>
      <c r="Q274" s="14">
        <v>2370730</v>
      </c>
      <c r="R274" s="15">
        <v>0.01</v>
      </c>
      <c r="S274" s="11">
        <f t="shared" si="10"/>
        <v>1513622.6300000001</v>
      </c>
      <c r="T274" s="1" t="str">
        <f t="shared" si="11"/>
        <v>YES</v>
      </c>
      <c r="U274" s="15">
        <v>0.75</v>
      </c>
      <c r="V274" s="11">
        <f t="shared" si="12"/>
        <v>1135216.9725000001</v>
      </c>
      <c r="W274" s="1" t="str">
        <f t="shared" si="13"/>
        <v>Yes</v>
      </c>
      <c r="X274" s="1"/>
      <c r="Y274" s="1"/>
      <c r="Z274" s="1"/>
      <c r="AA274" s="1"/>
    </row>
    <row r="275" spans="1:27" ht="14.4" x14ac:dyDescent="0.3">
      <c r="A275" s="1"/>
      <c r="B275" s="1"/>
      <c r="C275" s="1"/>
      <c r="D275" s="13">
        <v>51157</v>
      </c>
      <c r="E275" s="1" t="s">
        <v>231</v>
      </c>
      <c r="F275" s="1"/>
      <c r="G275" s="1"/>
      <c r="H275" s="1"/>
      <c r="I275" s="13">
        <v>324</v>
      </c>
      <c r="J275" s="13">
        <v>324</v>
      </c>
      <c r="K275" s="13">
        <v>324</v>
      </c>
      <c r="L275" s="13">
        <v>324</v>
      </c>
      <c r="M275" s="13">
        <v>648</v>
      </c>
      <c r="N275" s="13">
        <v>648</v>
      </c>
      <c r="O275" s="14">
        <v>1621</v>
      </c>
      <c r="P275" s="14">
        <v>2108</v>
      </c>
      <c r="Q275" s="14">
        <v>1811</v>
      </c>
      <c r="R275" s="15">
        <v>0.01</v>
      </c>
      <c r="S275" s="11">
        <f t="shared" si="10"/>
        <v>1513622.6300000001</v>
      </c>
      <c r="T275" s="1" t="str">
        <f t="shared" si="11"/>
        <v>NO</v>
      </c>
      <c r="U275" s="15">
        <v>0.75</v>
      </c>
      <c r="V275" s="11">
        <f t="shared" si="12"/>
        <v>1135216.9725000001</v>
      </c>
      <c r="W275" s="1" t="str">
        <f t="shared" si="13"/>
        <v>No</v>
      </c>
      <c r="X275" s="1"/>
      <c r="Y275" s="1"/>
      <c r="Z275" s="1"/>
      <c r="AA275" s="1"/>
    </row>
    <row r="276" spans="1:27" ht="14.4" x14ac:dyDescent="0.3">
      <c r="A276" s="1"/>
      <c r="B276" s="1"/>
      <c r="C276" s="1"/>
      <c r="D276" s="13">
        <v>51158</v>
      </c>
      <c r="E276" s="1" t="s">
        <v>232</v>
      </c>
      <c r="F276" s="14">
        <v>101850</v>
      </c>
      <c r="G276" s="14">
        <v>203550</v>
      </c>
      <c r="H276" s="14">
        <v>307200</v>
      </c>
      <c r="I276" s="14">
        <v>412200</v>
      </c>
      <c r="J276" s="14">
        <v>516750</v>
      </c>
      <c r="K276" s="14">
        <v>477166</v>
      </c>
      <c r="L276" s="14">
        <v>595748</v>
      </c>
      <c r="M276" s="14">
        <v>716198</v>
      </c>
      <c r="N276" s="14">
        <v>662756</v>
      </c>
      <c r="O276" s="14">
        <v>783836</v>
      </c>
      <c r="P276" s="14">
        <v>904916</v>
      </c>
      <c r="Q276" s="14">
        <v>823238</v>
      </c>
      <c r="R276" s="15">
        <v>0.01</v>
      </c>
      <c r="S276" s="11">
        <f t="shared" si="10"/>
        <v>1513622.6300000001</v>
      </c>
      <c r="T276" s="1" t="str">
        <f t="shared" si="11"/>
        <v>NO</v>
      </c>
      <c r="U276" s="15">
        <v>0.75</v>
      </c>
      <c r="V276" s="11">
        <f t="shared" si="12"/>
        <v>1135216.9725000001</v>
      </c>
      <c r="W276" s="1" t="str">
        <f t="shared" si="13"/>
        <v>No</v>
      </c>
      <c r="X276" s="1"/>
      <c r="Y276" s="1"/>
      <c r="Z276" s="1"/>
      <c r="AA276" s="1"/>
    </row>
    <row r="277" spans="1:27" ht="14.4" x14ac:dyDescent="0.3">
      <c r="A277" s="1"/>
      <c r="B277" s="1"/>
      <c r="C277" s="1"/>
      <c r="D277" s="13">
        <v>51200</v>
      </c>
      <c r="E277" s="1" t="s">
        <v>233</v>
      </c>
      <c r="F277" s="14">
        <v>176672</v>
      </c>
      <c r="G277" s="14">
        <v>362446</v>
      </c>
      <c r="H277" s="14">
        <v>571490</v>
      </c>
      <c r="I277" s="14">
        <v>752495</v>
      </c>
      <c r="J277" s="14">
        <v>965529</v>
      </c>
      <c r="K277" s="14">
        <v>1135605</v>
      </c>
      <c r="L277" s="14">
        <v>1355454</v>
      </c>
      <c r="M277" s="14">
        <v>1571983</v>
      </c>
      <c r="N277" s="14">
        <v>1784129</v>
      </c>
      <c r="O277" s="14">
        <v>2027731</v>
      </c>
      <c r="P277" s="14">
        <v>2313308</v>
      </c>
      <c r="Q277" s="14">
        <v>2618515</v>
      </c>
      <c r="R277" s="15">
        <v>0.01</v>
      </c>
      <c r="S277" s="11">
        <f t="shared" si="10"/>
        <v>1513622.6300000001</v>
      </c>
      <c r="T277" s="1" t="str">
        <f t="shared" si="11"/>
        <v>YES</v>
      </c>
      <c r="U277" s="15">
        <v>0.75</v>
      </c>
      <c r="V277" s="11">
        <f t="shared" si="12"/>
        <v>1135216.9725000001</v>
      </c>
      <c r="W277" s="1" t="str">
        <f t="shared" si="13"/>
        <v>Yes</v>
      </c>
      <c r="X277" s="1"/>
      <c r="Y277" s="1"/>
      <c r="Z277" s="1"/>
      <c r="AA277" s="1"/>
    </row>
    <row r="278" spans="1:27" ht="14.4" x14ac:dyDescent="0.3">
      <c r="A278" s="1"/>
      <c r="B278" s="1"/>
      <c r="C278" s="1"/>
      <c r="D278" s="13">
        <v>51250</v>
      </c>
      <c r="E278" s="1" t="s">
        <v>234</v>
      </c>
      <c r="F278" s="14">
        <v>85339</v>
      </c>
      <c r="G278" s="14">
        <v>176819</v>
      </c>
      <c r="H278" s="14">
        <v>287891</v>
      </c>
      <c r="I278" s="14">
        <v>366418</v>
      </c>
      <c r="J278" s="14">
        <v>469604</v>
      </c>
      <c r="K278" s="14">
        <v>563250</v>
      </c>
      <c r="L278" s="14">
        <v>655674</v>
      </c>
      <c r="M278" s="14">
        <v>772219</v>
      </c>
      <c r="N278" s="14">
        <v>894340</v>
      </c>
      <c r="O278" s="14">
        <v>1024131</v>
      </c>
      <c r="P278" s="14">
        <v>1185317</v>
      </c>
      <c r="Q278" s="14">
        <v>1325518</v>
      </c>
      <c r="R278" s="15">
        <v>0.01</v>
      </c>
      <c r="S278" s="11">
        <f t="shared" si="10"/>
        <v>1513622.6300000001</v>
      </c>
      <c r="T278" s="1" t="str">
        <f t="shared" si="11"/>
        <v>NO</v>
      </c>
      <c r="U278" s="15">
        <v>0.75</v>
      </c>
      <c r="V278" s="11">
        <f t="shared" si="12"/>
        <v>1135216.9725000001</v>
      </c>
      <c r="W278" s="1" t="str">
        <f t="shared" si="13"/>
        <v>Yes</v>
      </c>
      <c r="X278" s="1"/>
      <c r="Y278" s="1"/>
      <c r="Z278" s="1"/>
      <c r="AA278" s="1"/>
    </row>
    <row r="279" spans="1:27" ht="14.4" x14ac:dyDescent="0.3">
      <c r="A279" s="1"/>
      <c r="B279" s="1"/>
      <c r="C279" s="1"/>
      <c r="D279" s="13">
        <v>51255</v>
      </c>
      <c r="E279" s="1" t="s">
        <v>234</v>
      </c>
      <c r="F279" s="14">
        <v>11468</v>
      </c>
      <c r="G279" s="14">
        <v>22936</v>
      </c>
      <c r="H279" s="14">
        <v>34404</v>
      </c>
      <c r="I279" s="14">
        <v>45872</v>
      </c>
      <c r="J279" s="14">
        <v>57340</v>
      </c>
      <c r="K279" s="14">
        <v>71940</v>
      </c>
      <c r="L279" s="14">
        <v>83429</v>
      </c>
      <c r="M279" s="14">
        <v>96269</v>
      </c>
      <c r="N279" s="14">
        <v>115701</v>
      </c>
      <c r="O279" s="14">
        <v>137882</v>
      </c>
      <c r="P279" s="14">
        <v>159999</v>
      </c>
      <c r="Q279" s="14">
        <v>200628</v>
      </c>
      <c r="R279" s="15">
        <v>0.01</v>
      </c>
      <c r="S279" s="11">
        <f t="shared" si="10"/>
        <v>1513622.6300000001</v>
      </c>
      <c r="T279" s="1" t="str">
        <f t="shared" si="11"/>
        <v>NO</v>
      </c>
      <c r="U279" s="15">
        <v>0.75</v>
      </c>
      <c r="V279" s="11">
        <f t="shared" si="12"/>
        <v>1135216.9725000001</v>
      </c>
      <c r="W279" s="1" t="str">
        <f t="shared" si="13"/>
        <v>No</v>
      </c>
      <c r="X279" s="1"/>
      <c r="Y279" s="1"/>
      <c r="Z279" s="1"/>
      <c r="AA279" s="1"/>
    </row>
    <row r="280" spans="1:27" ht="14.4" x14ac:dyDescent="0.3">
      <c r="A280" s="1"/>
      <c r="B280" s="1"/>
      <c r="C280" s="1"/>
      <c r="D280" s="13">
        <v>51256</v>
      </c>
      <c r="E280" s="1" t="s">
        <v>234</v>
      </c>
      <c r="F280" s="14">
        <v>35008</v>
      </c>
      <c r="G280" s="14">
        <v>74370</v>
      </c>
      <c r="H280" s="14">
        <v>121468</v>
      </c>
      <c r="I280" s="14">
        <v>159266</v>
      </c>
      <c r="J280" s="14">
        <v>207579</v>
      </c>
      <c r="K280" s="14">
        <v>264299</v>
      </c>
      <c r="L280" s="14">
        <v>311600</v>
      </c>
      <c r="M280" s="14">
        <v>380000</v>
      </c>
      <c r="N280" s="14">
        <v>433393</v>
      </c>
      <c r="O280" s="14">
        <v>459968</v>
      </c>
      <c r="P280" s="14">
        <v>520249</v>
      </c>
      <c r="Q280" s="14">
        <v>496192</v>
      </c>
      <c r="R280" s="15">
        <v>0.01</v>
      </c>
      <c r="S280" s="11">
        <f t="shared" si="10"/>
        <v>1513622.6300000001</v>
      </c>
      <c r="T280" s="1" t="str">
        <f t="shared" si="11"/>
        <v>NO</v>
      </c>
      <c r="U280" s="15">
        <v>0.75</v>
      </c>
      <c r="V280" s="11">
        <f t="shared" si="12"/>
        <v>1135216.9725000001</v>
      </c>
      <c r="W280" s="1" t="str">
        <f t="shared" si="13"/>
        <v>No</v>
      </c>
      <c r="X280" s="1"/>
      <c r="Y280" s="1"/>
      <c r="Z280" s="1"/>
      <c r="AA280" s="1"/>
    </row>
    <row r="281" spans="1:27" ht="14.4" x14ac:dyDescent="0.3">
      <c r="A281" s="1"/>
      <c r="B281" s="1"/>
      <c r="C281" s="1"/>
      <c r="D281" s="13">
        <v>51511</v>
      </c>
      <c r="E281" s="1" t="s">
        <v>235</v>
      </c>
      <c r="F281" s="14">
        <v>92846</v>
      </c>
      <c r="G281" s="14">
        <v>194242</v>
      </c>
      <c r="H281" s="14">
        <v>317481</v>
      </c>
      <c r="I281" s="14">
        <v>418574</v>
      </c>
      <c r="J281" s="14">
        <v>553778</v>
      </c>
      <c r="K281" s="14">
        <v>713813</v>
      </c>
      <c r="L281" s="14">
        <v>812502</v>
      </c>
      <c r="M281" s="14">
        <v>946851</v>
      </c>
      <c r="N281" s="14">
        <v>1015361</v>
      </c>
      <c r="O281" s="14">
        <v>1220144</v>
      </c>
      <c r="P281" s="14">
        <v>1438444</v>
      </c>
      <c r="Q281" s="14">
        <v>1725796</v>
      </c>
      <c r="R281" s="15">
        <v>0.01</v>
      </c>
      <c r="S281" s="11">
        <f t="shared" si="10"/>
        <v>1513622.6300000001</v>
      </c>
      <c r="T281" s="1" t="str">
        <f t="shared" si="11"/>
        <v>YES</v>
      </c>
      <c r="U281" s="15">
        <v>0.75</v>
      </c>
      <c r="V281" s="11">
        <f t="shared" si="12"/>
        <v>1135216.9725000001</v>
      </c>
      <c r="W281" s="1" t="str">
        <f t="shared" si="13"/>
        <v>Yes</v>
      </c>
      <c r="X281" s="1"/>
      <c r="Y281" s="1"/>
      <c r="Z281" s="1"/>
      <c r="AA281" s="1"/>
    </row>
    <row r="282" spans="1:27" ht="14.4" x14ac:dyDescent="0.3">
      <c r="A282" s="1"/>
      <c r="B282" s="1"/>
      <c r="C282" s="1"/>
      <c r="D282" s="13">
        <v>51512</v>
      </c>
      <c r="E282" s="1" t="s">
        <v>236</v>
      </c>
      <c r="F282" s="14">
        <v>515944</v>
      </c>
      <c r="G282" s="14">
        <v>872260</v>
      </c>
      <c r="H282" s="14">
        <v>1187803</v>
      </c>
      <c r="I282" s="14">
        <v>1664134</v>
      </c>
      <c r="J282" s="14">
        <v>2048732</v>
      </c>
      <c r="K282" s="14">
        <v>2284420</v>
      </c>
      <c r="L282" s="14">
        <v>2717581</v>
      </c>
      <c r="M282" s="14">
        <v>3168941</v>
      </c>
      <c r="N282" s="14">
        <v>3402134</v>
      </c>
      <c r="O282" s="14">
        <v>3842779</v>
      </c>
      <c r="P282" s="14">
        <v>4286263</v>
      </c>
      <c r="Q282" s="14">
        <v>5208390</v>
      </c>
      <c r="R282" s="15">
        <v>0.01</v>
      </c>
      <c r="S282" s="11">
        <f t="shared" si="10"/>
        <v>1513622.6300000001</v>
      </c>
      <c r="T282" s="1" t="str">
        <f t="shared" si="11"/>
        <v>YES</v>
      </c>
      <c r="U282" s="15">
        <v>0.75</v>
      </c>
      <c r="V282" s="11">
        <f t="shared" si="12"/>
        <v>1135216.9725000001</v>
      </c>
      <c r="W282" s="1" t="str">
        <f t="shared" si="13"/>
        <v>Yes</v>
      </c>
      <c r="X282" s="1"/>
      <c r="Y282" s="1"/>
      <c r="Z282" s="1"/>
      <c r="AA282" s="1"/>
    </row>
    <row r="283" spans="1:27" ht="14.4" x14ac:dyDescent="0.3">
      <c r="A283" s="1"/>
      <c r="B283" s="1"/>
      <c r="C283" s="1"/>
      <c r="D283" s="13">
        <v>51513</v>
      </c>
      <c r="E283" s="1" t="s">
        <v>237</v>
      </c>
      <c r="F283" s="14">
        <v>104195</v>
      </c>
      <c r="G283" s="14">
        <v>214636</v>
      </c>
      <c r="H283" s="14">
        <v>342991</v>
      </c>
      <c r="I283" s="14">
        <v>453067</v>
      </c>
      <c r="J283" s="14">
        <v>587987</v>
      </c>
      <c r="K283" s="14">
        <v>652447</v>
      </c>
      <c r="L283" s="14">
        <v>774828</v>
      </c>
      <c r="M283" s="14">
        <v>920851</v>
      </c>
      <c r="N283" s="14">
        <v>1077466</v>
      </c>
      <c r="O283" s="14">
        <v>1254131</v>
      </c>
      <c r="P283" s="14">
        <v>1472686</v>
      </c>
      <c r="Q283" s="14">
        <v>1349204</v>
      </c>
      <c r="R283" s="15">
        <v>0.01</v>
      </c>
      <c r="S283" s="11">
        <f t="shared" si="10"/>
        <v>1513622.6300000001</v>
      </c>
      <c r="T283" s="1" t="str">
        <f t="shared" si="11"/>
        <v>NO</v>
      </c>
      <c r="U283" s="15">
        <v>0.75</v>
      </c>
      <c r="V283" s="11">
        <f t="shared" si="12"/>
        <v>1135216.9725000001</v>
      </c>
      <c r="W283" s="1" t="str">
        <f t="shared" si="13"/>
        <v>Yes</v>
      </c>
      <c r="X283" s="1"/>
      <c r="Y283" s="1"/>
      <c r="Z283" s="1"/>
      <c r="AA283" s="1"/>
    </row>
    <row r="284" spans="1:27" ht="14.4" x14ac:dyDescent="0.3">
      <c r="A284" s="1"/>
      <c r="B284" s="1"/>
      <c r="C284" s="1"/>
      <c r="D284" s="13">
        <v>51514</v>
      </c>
      <c r="E284" s="1" t="s">
        <v>238</v>
      </c>
      <c r="F284" s="14">
        <v>206929</v>
      </c>
      <c r="G284" s="14">
        <v>397054</v>
      </c>
      <c r="H284" s="14">
        <v>597448</v>
      </c>
      <c r="I284" s="14">
        <v>720365</v>
      </c>
      <c r="J284" s="14">
        <v>903075</v>
      </c>
      <c r="K284" s="14">
        <v>1059011</v>
      </c>
      <c r="L284" s="14">
        <v>1215409</v>
      </c>
      <c r="M284" s="14">
        <v>1421758</v>
      </c>
      <c r="N284" s="14">
        <v>1646111</v>
      </c>
      <c r="O284" s="14">
        <v>1898287</v>
      </c>
      <c r="P284" s="14">
        <v>2192374</v>
      </c>
      <c r="Q284" s="14">
        <v>2506796</v>
      </c>
      <c r="R284" s="15">
        <v>0.01</v>
      </c>
      <c r="S284" s="11">
        <f t="shared" si="10"/>
        <v>1513622.6300000001</v>
      </c>
      <c r="T284" s="1" t="str">
        <f t="shared" si="11"/>
        <v>YES</v>
      </c>
      <c r="U284" s="15">
        <v>0.75</v>
      </c>
      <c r="V284" s="11">
        <f t="shared" si="12"/>
        <v>1135216.9725000001</v>
      </c>
      <c r="W284" s="1" t="str">
        <f t="shared" si="13"/>
        <v>Yes</v>
      </c>
      <c r="X284" s="1"/>
      <c r="Y284" s="1"/>
      <c r="Z284" s="1"/>
      <c r="AA284" s="1"/>
    </row>
    <row r="285" spans="1:27" ht="14.4" x14ac:dyDescent="0.3">
      <c r="A285" s="1"/>
      <c r="B285" s="1"/>
      <c r="C285" s="1"/>
      <c r="D285" s="13">
        <v>51516</v>
      </c>
      <c r="E285" s="1" t="s">
        <v>239</v>
      </c>
      <c r="F285" s="14">
        <v>27118</v>
      </c>
      <c r="G285" s="14">
        <v>55440</v>
      </c>
      <c r="H285" s="14">
        <v>90976</v>
      </c>
      <c r="I285" s="14">
        <v>119902</v>
      </c>
      <c r="J285" s="14">
        <v>156519</v>
      </c>
      <c r="K285" s="14">
        <v>187462</v>
      </c>
      <c r="L285" s="14">
        <v>232783</v>
      </c>
      <c r="M285" s="14">
        <v>269920</v>
      </c>
      <c r="N285" s="14">
        <v>300253</v>
      </c>
      <c r="O285" s="14">
        <v>329712</v>
      </c>
      <c r="P285" s="14">
        <v>367917</v>
      </c>
      <c r="Q285" s="14">
        <v>423865</v>
      </c>
      <c r="R285" s="15">
        <v>0.01</v>
      </c>
      <c r="S285" s="11">
        <f t="shared" si="10"/>
        <v>1513622.6300000001</v>
      </c>
      <c r="T285" s="1" t="str">
        <f t="shared" si="11"/>
        <v>NO</v>
      </c>
      <c r="U285" s="15">
        <v>0.75</v>
      </c>
      <c r="V285" s="11">
        <f t="shared" si="12"/>
        <v>1135216.9725000001</v>
      </c>
      <c r="W285" s="1" t="str">
        <f t="shared" si="13"/>
        <v>No</v>
      </c>
      <c r="X285" s="1"/>
      <c r="Y285" s="1"/>
      <c r="Z285" s="1"/>
      <c r="AA285" s="1"/>
    </row>
    <row r="286" spans="1:27" ht="14.4" x14ac:dyDescent="0.3">
      <c r="A286" s="1"/>
      <c r="B286" s="1"/>
      <c r="C286" s="1"/>
      <c r="D286" s="13">
        <v>51600</v>
      </c>
      <c r="E286" s="1" t="s">
        <v>240</v>
      </c>
      <c r="F286" s="14">
        <v>710286</v>
      </c>
      <c r="G286" s="14">
        <v>1465199</v>
      </c>
      <c r="H286" s="14">
        <v>2108449</v>
      </c>
      <c r="I286" s="14">
        <v>2855940</v>
      </c>
      <c r="J286" s="14">
        <v>3547166</v>
      </c>
      <c r="K286" s="14">
        <v>4467054</v>
      </c>
      <c r="L286" s="14">
        <v>5407782</v>
      </c>
      <c r="M286" s="14">
        <v>6376690</v>
      </c>
      <c r="N286" s="14">
        <v>7360461</v>
      </c>
      <c r="O286" s="14">
        <v>8345979</v>
      </c>
      <c r="P286" s="14">
        <v>8842209</v>
      </c>
      <c r="Q286" s="14">
        <v>10357476</v>
      </c>
      <c r="R286" s="15">
        <v>0.01</v>
      </c>
      <c r="S286" s="11">
        <f t="shared" si="10"/>
        <v>1513622.6300000001</v>
      </c>
      <c r="T286" s="1" t="str">
        <f t="shared" si="11"/>
        <v>YES</v>
      </c>
      <c r="U286" s="15">
        <v>0.75</v>
      </c>
      <c r="V286" s="11">
        <f t="shared" si="12"/>
        <v>1135216.9725000001</v>
      </c>
      <c r="W286" s="1" t="str">
        <f t="shared" si="13"/>
        <v>Yes</v>
      </c>
      <c r="X286" s="1"/>
      <c r="Y286" s="1"/>
      <c r="Z286" s="1"/>
      <c r="AA286" s="1"/>
    </row>
    <row r="287" spans="1:27" ht="14.4" x14ac:dyDescent="0.3">
      <c r="A287" s="1"/>
      <c r="B287" s="1"/>
      <c r="C287" s="1"/>
      <c r="D287" s="13">
        <v>51604</v>
      </c>
      <c r="E287" s="1" t="s">
        <v>240</v>
      </c>
      <c r="F287" s="14">
        <v>14081</v>
      </c>
      <c r="G287" s="14">
        <v>90798</v>
      </c>
      <c r="H287" s="14">
        <v>70373</v>
      </c>
      <c r="I287" s="14">
        <v>135470</v>
      </c>
      <c r="J287" s="14">
        <v>226483</v>
      </c>
      <c r="K287" s="14">
        <v>284678</v>
      </c>
      <c r="L287" s="14">
        <v>346594</v>
      </c>
      <c r="M287" s="14">
        <v>431597</v>
      </c>
      <c r="N287" s="14">
        <v>512229</v>
      </c>
      <c r="O287" s="14">
        <v>618353</v>
      </c>
      <c r="P287" s="14">
        <v>693774</v>
      </c>
      <c r="Q287" s="14">
        <v>775271</v>
      </c>
      <c r="R287" s="15">
        <v>0.01</v>
      </c>
      <c r="S287" s="11">
        <f t="shared" si="10"/>
        <v>1513622.6300000001</v>
      </c>
      <c r="T287" s="1" t="str">
        <f t="shared" si="11"/>
        <v>NO</v>
      </c>
      <c r="U287" s="15">
        <v>0.75</v>
      </c>
      <c r="V287" s="11">
        <f t="shared" si="12"/>
        <v>1135216.9725000001</v>
      </c>
      <c r="W287" s="1" t="str">
        <f t="shared" si="13"/>
        <v>No</v>
      </c>
      <c r="X287" s="1"/>
      <c r="Y287" s="1"/>
      <c r="Z287" s="1"/>
      <c r="AA287" s="1"/>
    </row>
    <row r="288" spans="1:27" ht="14.4" x14ac:dyDescent="0.3">
      <c r="A288" s="1"/>
      <c r="B288" s="1"/>
      <c r="C288" s="1"/>
      <c r="D288" s="13">
        <v>51605</v>
      </c>
      <c r="E288" s="1" t="s">
        <v>240</v>
      </c>
      <c r="F288" s="14">
        <v>21333</v>
      </c>
      <c r="G288" s="14">
        <v>42667</v>
      </c>
      <c r="H288" s="14">
        <v>64000</v>
      </c>
      <c r="I288" s="14">
        <v>85333</v>
      </c>
      <c r="J288" s="14">
        <v>106667</v>
      </c>
      <c r="K288" s="14">
        <v>121982</v>
      </c>
      <c r="L288" s="14">
        <v>137297</v>
      </c>
      <c r="M288" s="14">
        <v>152612</v>
      </c>
      <c r="N288" s="14">
        <v>167927</v>
      </c>
      <c r="O288" s="14">
        <v>183242</v>
      </c>
      <c r="P288" s="14">
        <v>198557</v>
      </c>
      <c r="Q288" s="14">
        <v>243656</v>
      </c>
      <c r="R288" s="15">
        <v>0.01</v>
      </c>
      <c r="S288" s="11">
        <f t="shared" si="10"/>
        <v>1513622.6300000001</v>
      </c>
      <c r="T288" s="1" t="str">
        <f t="shared" si="11"/>
        <v>NO</v>
      </c>
      <c r="U288" s="15">
        <v>0.75</v>
      </c>
      <c r="V288" s="11">
        <f t="shared" si="12"/>
        <v>1135216.9725000001</v>
      </c>
      <c r="W288" s="1" t="str">
        <f t="shared" si="13"/>
        <v>No</v>
      </c>
      <c r="X288" s="1"/>
      <c r="Y288" s="1"/>
      <c r="Z288" s="1"/>
      <c r="AA288" s="1"/>
    </row>
    <row r="289" spans="1:27" ht="14.4" x14ac:dyDescent="0.3">
      <c r="A289" s="1"/>
      <c r="B289" s="1"/>
      <c r="C289" s="1"/>
      <c r="D289" s="13">
        <v>51607</v>
      </c>
      <c r="E289" s="1" t="s">
        <v>240</v>
      </c>
      <c r="F289" s="14">
        <v>4495</v>
      </c>
      <c r="G289" s="14">
        <v>33144</v>
      </c>
      <c r="H289" s="14">
        <v>47494</v>
      </c>
      <c r="I289" s="14">
        <v>47494</v>
      </c>
      <c r="J289" s="14">
        <v>47494</v>
      </c>
      <c r="K289" s="14">
        <v>47494</v>
      </c>
      <c r="L289" s="14">
        <v>47494</v>
      </c>
      <c r="M289" s="14">
        <v>47494</v>
      </c>
      <c r="N289" s="14">
        <v>47494</v>
      </c>
      <c r="O289" s="14">
        <v>47494</v>
      </c>
      <c r="P289" s="14">
        <v>47494</v>
      </c>
      <c r="Q289" s="14">
        <v>47494</v>
      </c>
      <c r="R289" s="15">
        <v>0.01</v>
      </c>
      <c r="S289" s="11">
        <f t="shared" si="10"/>
        <v>1513622.6300000001</v>
      </c>
      <c r="T289" s="1" t="str">
        <f t="shared" si="11"/>
        <v>NO</v>
      </c>
      <c r="U289" s="15">
        <v>0.75</v>
      </c>
      <c r="V289" s="11">
        <f t="shared" si="12"/>
        <v>1135216.9725000001</v>
      </c>
      <c r="W289" s="1" t="str">
        <f t="shared" si="13"/>
        <v>No</v>
      </c>
      <c r="X289" s="1"/>
      <c r="Y289" s="1"/>
      <c r="Z289" s="1"/>
      <c r="AA289" s="1"/>
    </row>
    <row r="290" spans="1:27" ht="14.4" x14ac:dyDescent="0.3">
      <c r="A290" s="1"/>
      <c r="B290" s="1"/>
      <c r="C290" s="1"/>
      <c r="D290" s="13">
        <v>51608</v>
      </c>
      <c r="E290" s="1" t="s">
        <v>240</v>
      </c>
      <c r="F290" s="14">
        <v>1654824</v>
      </c>
      <c r="G290" s="14">
        <v>3315656</v>
      </c>
      <c r="H290" s="14">
        <v>5274734</v>
      </c>
      <c r="I290" s="14">
        <v>7232039</v>
      </c>
      <c r="J290" s="14">
        <v>9304793</v>
      </c>
      <c r="K290" s="14">
        <v>11614405</v>
      </c>
      <c r="L290" s="14">
        <v>14069202</v>
      </c>
      <c r="M290" s="14">
        <v>16509162</v>
      </c>
      <c r="N290" s="14">
        <v>19775756</v>
      </c>
      <c r="O290" s="14">
        <v>22080406</v>
      </c>
      <c r="P290" s="14">
        <v>24589232</v>
      </c>
      <c r="Q290" s="14">
        <v>27238761</v>
      </c>
      <c r="R290" s="15">
        <v>0.01</v>
      </c>
      <c r="S290" s="11">
        <f t="shared" si="10"/>
        <v>1513622.6300000001</v>
      </c>
      <c r="T290" s="1" t="str">
        <f t="shared" si="11"/>
        <v>YES</v>
      </c>
      <c r="U290" s="15">
        <v>0.75</v>
      </c>
      <c r="V290" s="11">
        <f t="shared" si="12"/>
        <v>1135216.9725000001</v>
      </c>
      <c r="W290" s="1" t="str">
        <f t="shared" si="13"/>
        <v>Yes</v>
      </c>
      <c r="X290" s="1"/>
      <c r="Y290" s="1"/>
      <c r="Z290" s="1"/>
      <c r="AA290" s="1"/>
    </row>
    <row r="291" spans="1:27" ht="14.4" x14ac:dyDescent="0.3">
      <c r="A291" s="1"/>
      <c r="B291" s="1"/>
      <c r="C291" s="1"/>
      <c r="D291" s="13">
        <v>51609</v>
      </c>
      <c r="E291" s="1" t="s">
        <v>240</v>
      </c>
      <c r="F291" s="1"/>
      <c r="G291" s="1"/>
      <c r="H291" s="1"/>
      <c r="I291" s="14">
        <v>3874</v>
      </c>
      <c r="J291" s="14">
        <v>2803</v>
      </c>
      <c r="K291" s="14">
        <v>23334</v>
      </c>
      <c r="L291" s="14">
        <v>23334</v>
      </c>
      <c r="M291" s="14">
        <v>28825</v>
      </c>
      <c r="N291" s="14">
        <v>28825</v>
      </c>
      <c r="O291" s="14">
        <v>28825</v>
      </c>
      <c r="P291" s="14">
        <v>28825</v>
      </c>
      <c r="Q291" s="14">
        <v>36086</v>
      </c>
      <c r="R291" s="15">
        <v>0.01</v>
      </c>
      <c r="S291" s="11">
        <f t="shared" si="10"/>
        <v>1513622.6300000001</v>
      </c>
      <c r="T291" s="1" t="str">
        <f t="shared" si="11"/>
        <v>NO</v>
      </c>
      <c r="U291" s="15">
        <v>0.75</v>
      </c>
      <c r="V291" s="11">
        <f t="shared" si="12"/>
        <v>1135216.9725000001</v>
      </c>
      <c r="W291" s="1" t="str">
        <f t="shared" si="13"/>
        <v>No</v>
      </c>
      <c r="X291" s="1"/>
      <c r="Y291" s="1"/>
      <c r="Z291" s="1"/>
      <c r="AA291" s="1"/>
    </row>
    <row r="292" spans="1:27" ht="14.4" x14ac:dyDescent="0.3">
      <c r="A292" s="1"/>
      <c r="B292" s="1"/>
      <c r="C292" s="1"/>
      <c r="D292" s="13">
        <v>51611</v>
      </c>
      <c r="E292" s="1" t="s">
        <v>240</v>
      </c>
      <c r="F292" s="14">
        <v>29174</v>
      </c>
      <c r="G292" s="14">
        <v>61652</v>
      </c>
      <c r="H292" s="14">
        <v>87621</v>
      </c>
      <c r="I292" s="14">
        <v>175419</v>
      </c>
      <c r="J292" s="14">
        <v>182854</v>
      </c>
      <c r="K292" s="14">
        <v>225527</v>
      </c>
      <c r="L292" s="14">
        <v>259207</v>
      </c>
      <c r="M292" s="14">
        <v>316902</v>
      </c>
      <c r="N292" s="14">
        <v>347398</v>
      </c>
      <c r="O292" s="14">
        <v>359224</v>
      </c>
      <c r="P292" s="14">
        <v>401489</v>
      </c>
      <c r="Q292" s="14">
        <v>475787</v>
      </c>
      <c r="R292" s="15">
        <v>0.01</v>
      </c>
      <c r="S292" s="11">
        <f t="shared" si="10"/>
        <v>1513622.6300000001</v>
      </c>
      <c r="T292" s="1" t="str">
        <f t="shared" si="11"/>
        <v>NO</v>
      </c>
      <c r="U292" s="15">
        <v>0.75</v>
      </c>
      <c r="V292" s="11">
        <f t="shared" si="12"/>
        <v>1135216.9725000001</v>
      </c>
      <c r="W292" s="1" t="str">
        <f t="shared" si="13"/>
        <v>No</v>
      </c>
      <c r="X292" s="1"/>
      <c r="Y292" s="1"/>
      <c r="Z292" s="1"/>
      <c r="AA292" s="1"/>
    </row>
    <row r="293" spans="1:27" ht="14.4" x14ac:dyDescent="0.3">
      <c r="A293" s="1"/>
      <c r="B293" s="1"/>
      <c r="C293" s="1"/>
      <c r="D293" s="13">
        <v>52116</v>
      </c>
      <c r="E293" s="1" t="s">
        <v>241</v>
      </c>
      <c r="F293" s="14">
        <v>-9444</v>
      </c>
      <c r="G293" s="14">
        <v>-9444</v>
      </c>
      <c r="H293" s="14">
        <v>-9444</v>
      </c>
      <c r="I293" s="14">
        <v>-9444</v>
      </c>
      <c r="J293" s="14">
        <v>-9444</v>
      </c>
      <c r="K293" s="14">
        <v>-9444</v>
      </c>
      <c r="L293" s="14">
        <v>-9444</v>
      </c>
      <c r="M293" s="14">
        <v>-9444</v>
      </c>
      <c r="N293" s="14">
        <v>-9444</v>
      </c>
      <c r="O293" s="14">
        <v>-9444</v>
      </c>
      <c r="P293" s="14">
        <v>-9444</v>
      </c>
      <c r="Q293" s="14">
        <v>-9444</v>
      </c>
      <c r="R293" s="15">
        <v>0.01</v>
      </c>
      <c r="S293" s="11">
        <f t="shared" si="10"/>
        <v>1513622.6300000001</v>
      </c>
      <c r="T293" s="1" t="str">
        <f t="shared" si="11"/>
        <v>NO</v>
      </c>
      <c r="U293" s="15">
        <v>0.75</v>
      </c>
      <c r="V293" s="11">
        <f t="shared" si="12"/>
        <v>1135216.9725000001</v>
      </c>
      <c r="W293" s="1" t="str">
        <f t="shared" si="13"/>
        <v>No</v>
      </c>
      <c r="X293" s="1"/>
      <c r="Y293" s="1"/>
      <c r="Z293" s="1"/>
      <c r="AA293" s="1"/>
    </row>
    <row r="294" spans="1:27" ht="14.4" x14ac:dyDescent="0.3">
      <c r="A294" s="1"/>
      <c r="B294" s="1"/>
      <c r="C294" s="1"/>
      <c r="D294" s="13">
        <v>53100</v>
      </c>
      <c r="E294" s="1" t="s">
        <v>242</v>
      </c>
      <c r="F294" s="14">
        <v>636407</v>
      </c>
      <c r="G294" s="14">
        <v>1313371</v>
      </c>
      <c r="H294" s="14">
        <v>1940804</v>
      </c>
      <c r="I294" s="14">
        <v>2595656</v>
      </c>
      <c r="J294" s="14">
        <v>3251464</v>
      </c>
      <c r="K294" s="14">
        <v>3932097</v>
      </c>
      <c r="L294" s="14">
        <v>4653876</v>
      </c>
      <c r="M294" s="14">
        <v>5442153</v>
      </c>
      <c r="N294" s="14">
        <v>6324734</v>
      </c>
      <c r="O294" s="14">
        <v>7274026</v>
      </c>
      <c r="P294" s="14">
        <v>8188903</v>
      </c>
      <c r="Q294" s="14">
        <v>9274009</v>
      </c>
      <c r="R294" s="15">
        <v>0.01</v>
      </c>
      <c r="S294" s="11">
        <f t="shared" si="10"/>
        <v>1513622.6300000001</v>
      </c>
      <c r="T294" s="1" t="str">
        <f t="shared" si="11"/>
        <v>YES</v>
      </c>
      <c r="U294" s="15">
        <v>0.75</v>
      </c>
      <c r="V294" s="11">
        <f t="shared" si="12"/>
        <v>1135216.9725000001</v>
      </c>
      <c r="W294" s="1" t="str">
        <f t="shared" si="13"/>
        <v>Yes</v>
      </c>
      <c r="X294" s="1"/>
      <c r="Y294" s="1"/>
      <c r="Z294" s="1"/>
      <c r="AA294" s="1"/>
    </row>
    <row r="295" spans="1:27" ht="14.4" x14ac:dyDescent="0.3">
      <c r="A295" s="1"/>
      <c r="B295" s="1"/>
      <c r="C295" s="1"/>
      <c r="D295" s="13">
        <v>53200</v>
      </c>
      <c r="E295" s="1" t="s">
        <v>243</v>
      </c>
      <c r="F295" s="14">
        <v>774338</v>
      </c>
      <c r="G295" s="14">
        <v>1688963</v>
      </c>
      <c r="H295" s="14">
        <v>2463262</v>
      </c>
      <c r="I295" s="14">
        <v>3497453</v>
      </c>
      <c r="J295" s="14">
        <v>4559790</v>
      </c>
      <c r="K295" s="14">
        <v>5550638</v>
      </c>
      <c r="L295" s="14">
        <v>6476394</v>
      </c>
      <c r="M295" s="14">
        <v>7197670</v>
      </c>
      <c r="N295" s="14">
        <v>8326845</v>
      </c>
      <c r="O295" s="14">
        <v>9680250</v>
      </c>
      <c r="P295" s="14">
        <v>11222861</v>
      </c>
      <c r="Q295" s="14">
        <v>12946658</v>
      </c>
      <c r="R295" s="15">
        <v>0.01</v>
      </c>
      <c r="S295" s="11">
        <f t="shared" si="10"/>
        <v>1513622.6300000001</v>
      </c>
      <c r="T295" s="1" t="str">
        <f t="shared" si="11"/>
        <v>YES</v>
      </c>
      <c r="U295" s="15">
        <v>0.75</v>
      </c>
      <c r="V295" s="11">
        <f t="shared" si="12"/>
        <v>1135216.9725000001</v>
      </c>
      <c r="W295" s="1" t="str">
        <f t="shared" si="13"/>
        <v>Yes</v>
      </c>
      <c r="X295" s="1"/>
      <c r="Y295" s="1"/>
      <c r="Z295" s="1"/>
      <c r="AA295" s="1"/>
    </row>
    <row r="296" spans="1:27" ht="14.4" x14ac:dyDescent="0.3">
      <c r="A296" s="1"/>
      <c r="B296" s="1"/>
      <c r="C296" s="1"/>
      <c r="D296" s="13">
        <v>54200</v>
      </c>
      <c r="E296" s="1" t="s">
        <v>244</v>
      </c>
      <c r="F296" s="14">
        <v>165847</v>
      </c>
      <c r="G296" s="14">
        <v>394131</v>
      </c>
      <c r="H296" s="14">
        <v>602407</v>
      </c>
      <c r="I296" s="14">
        <v>822670</v>
      </c>
      <c r="J296" s="14">
        <v>1039008</v>
      </c>
      <c r="K296" s="14">
        <v>1262307</v>
      </c>
      <c r="L296" s="14">
        <v>1420990</v>
      </c>
      <c r="M296" s="14">
        <v>1559215</v>
      </c>
      <c r="N296" s="14">
        <v>1691667</v>
      </c>
      <c r="O296" s="14">
        <v>1850264</v>
      </c>
      <c r="P296" s="14">
        <v>1999592</v>
      </c>
      <c r="Q296" s="14">
        <v>2187607</v>
      </c>
      <c r="R296" s="15">
        <v>0.01</v>
      </c>
      <c r="S296" s="11">
        <f t="shared" si="10"/>
        <v>1513622.6300000001</v>
      </c>
      <c r="T296" s="1" t="str">
        <f t="shared" si="11"/>
        <v>YES</v>
      </c>
      <c r="U296" s="15">
        <v>0.75</v>
      </c>
      <c r="V296" s="11">
        <f t="shared" si="12"/>
        <v>1135216.9725000001</v>
      </c>
      <c r="W296" s="1" t="str">
        <f t="shared" si="13"/>
        <v>Yes</v>
      </c>
      <c r="X296" s="1"/>
      <c r="Y296" s="1"/>
      <c r="Z296" s="1"/>
      <c r="AA296" s="1"/>
    </row>
    <row r="297" spans="1:27" ht="14.4" x14ac:dyDescent="0.3">
      <c r="A297" s="1"/>
      <c r="B297" s="1"/>
      <c r="C297" s="1"/>
      <c r="D297" s="13">
        <v>54210</v>
      </c>
      <c r="E297" s="1" t="s">
        <v>245</v>
      </c>
      <c r="F297" s="14">
        <v>10819</v>
      </c>
      <c r="G297" s="14">
        <v>18239</v>
      </c>
      <c r="H297" s="14">
        <v>30261</v>
      </c>
      <c r="I297" s="14">
        <v>54394</v>
      </c>
      <c r="J297" s="14">
        <v>59758</v>
      </c>
      <c r="K297" s="14">
        <v>67879</v>
      </c>
      <c r="L297" s="14">
        <v>69635</v>
      </c>
      <c r="M297" s="14">
        <v>69902</v>
      </c>
      <c r="N297" s="14">
        <v>76388</v>
      </c>
      <c r="O297" s="14">
        <v>87010</v>
      </c>
      <c r="P297" s="14">
        <v>91340</v>
      </c>
      <c r="Q297" s="14">
        <v>111531</v>
      </c>
      <c r="R297" s="15">
        <v>0.01</v>
      </c>
      <c r="S297" s="11">
        <f t="shared" si="10"/>
        <v>1513622.6300000001</v>
      </c>
      <c r="T297" s="1" t="str">
        <f t="shared" si="11"/>
        <v>NO</v>
      </c>
      <c r="U297" s="15">
        <v>0.75</v>
      </c>
      <c r="V297" s="11">
        <f t="shared" si="12"/>
        <v>1135216.9725000001</v>
      </c>
      <c r="W297" s="1" t="str">
        <f t="shared" si="13"/>
        <v>No</v>
      </c>
      <c r="X297" s="1"/>
      <c r="Y297" s="1"/>
      <c r="Z297" s="1"/>
      <c r="AA297" s="1"/>
    </row>
    <row r="298" spans="1:27" ht="14.4" x14ac:dyDescent="0.3">
      <c r="A298" s="1"/>
      <c r="B298" s="1"/>
      <c r="C298" s="1"/>
      <c r="D298" s="13">
        <v>54300</v>
      </c>
      <c r="E298" s="1" t="s">
        <v>246</v>
      </c>
      <c r="F298" s="14">
        <v>71126</v>
      </c>
      <c r="G298" s="14">
        <v>123914</v>
      </c>
      <c r="H298" s="14">
        <v>183584</v>
      </c>
      <c r="I298" s="14">
        <v>247795</v>
      </c>
      <c r="J298" s="14">
        <v>327890</v>
      </c>
      <c r="K298" s="14">
        <v>389683</v>
      </c>
      <c r="L298" s="14">
        <v>467095</v>
      </c>
      <c r="M298" s="14">
        <v>529521</v>
      </c>
      <c r="N298" s="14">
        <v>562296</v>
      </c>
      <c r="O298" s="14">
        <v>617007</v>
      </c>
      <c r="P298" s="14">
        <v>669839</v>
      </c>
      <c r="Q298" s="14">
        <v>715171</v>
      </c>
      <c r="R298" s="15">
        <v>0.01</v>
      </c>
      <c r="S298" s="11">
        <f t="shared" si="10"/>
        <v>1513622.6300000001</v>
      </c>
      <c r="T298" s="1" t="str">
        <f t="shared" si="11"/>
        <v>NO</v>
      </c>
      <c r="U298" s="15">
        <v>0.75</v>
      </c>
      <c r="V298" s="11">
        <f t="shared" si="12"/>
        <v>1135216.9725000001</v>
      </c>
      <c r="W298" s="1" t="str">
        <f t="shared" si="13"/>
        <v>No</v>
      </c>
      <c r="X298" s="1"/>
      <c r="Y298" s="1"/>
      <c r="Z298" s="1"/>
      <c r="AA298" s="1"/>
    </row>
    <row r="299" spans="1:27" ht="14.4" x14ac:dyDescent="0.3">
      <c r="A299" s="1"/>
      <c r="B299" s="1"/>
      <c r="C299" s="1"/>
      <c r="D299" s="13">
        <v>54400</v>
      </c>
      <c r="E299" s="1" t="s">
        <v>224</v>
      </c>
      <c r="F299" s="14">
        <v>11675</v>
      </c>
      <c r="G299" s="14">
        <v>33436</v>
      </c>
      <c r="H299" s="14">
        <v>55460</v>
      </c>
      <c r="I299" s="14">
        <v>57066</v>
      </c>
      <c r="J299" s="14">
        <v>67694</v>
      </c>
      <c r="K299" s="14">
        <v>87201</v>
      </c>
      <c r="L299" s="14">
        <v>101020</v>
      </c>
      <c r="M299" s="14">
        <v>102758</v>
      </c>
      <c r="N299" s="14">
        <v>111989</v>
      </c>
      <c r="O299" s="14">
        <v>112896</v>
      </c>
      <c r="P299" s="14">
        <v>112490</v>
      </c>
      <c r="Q299" s="14">
        <v>114983</v>
      </c>
      <c r="R299" s="15">
        <v>0.01</v>
      </c>
      <c r="S299" s="11">
        <f t="shared" si="10"/>
        <v>1513622.6300000001</v>
      </c>
      <c r="T299" s="1" t="str">
        <f t="shared" si="11"/>
        <v>NO</v>
      </c>
      <c r="U299" s="15">
        <v>0.75</v>
      </c>
      <c r="V299" s="11">
        <f t="shared" si="12"/>
        <v>1135216.9725000001</v>
      </c>
      <c r="W299" s="1" t="str">
        <f t="shared" si="13"/>
        <v>No</v>
      </c>
      <c r="X299" s="1"/>
      <c r="Y299" s="1"/>
      <c r="Z299" s="1"/>
      <c r="AA299" s="1"/>
    </row>
    <row r="300" spans="1:27" ht="14.4" x14ac:dyDescent="0.3">
      <c r="A300" s="1"/>
      <c r="B300" s="1"/>
      <c r="C300" s="1"/>
      <c r="D300" s="13">
        <v>55100</v>
      </c>
      <c r="E300" s="1" t="s">
        <v>247</v>
      </c>
      <c r="F300" s="14">
        <v>180150</v>
      </c>
      <c r="G300" s="14">
        <v>417653</v>
      </c>
      <c r="H300" s="14">
        <v>557712</v>
      </c>
      <c r="I300" s="14">
        <v>748470</v>
      </c>
      <c r="J300" s="14">
        <v>949061</v>
      </c>
      <c r="K300" s="14">
        <v>1212040</v>
      </c>
      <c r="L300" s="14">
        <v>1457785</v>
      </c>
      <c r="M300" s="14">
        <v>1788174</v>
      </c>
      <c r="N300" s="14">
        <v>2145290</v>
      </c>
      <c r="O300" s="14">
        <v>2404324</v>
      </c>
      <c r="P300" s="14">
        <v>2686355</v>
      </c>
      <c r="Q300" s="14">
        <v>3130914</v>
      </c>
      <c r="R300" s="15">
        <v>0.01</v>
      </c>
      <c r="S300" s="11">
        <f t="shared" si="10"/>
        <v>1513622.6300000001</v>
      </c>
      <c r="T300" s="1" t="str">
        <f t="shared" si="11"/>
        <v>YES</v>
      </c>
      <c r="U300" s="15">
        <v>0.75</v>
      </c>
      <c r="V300" s="11">
        <f t="shared" si="12"/>
        <v>1135216.9725000001</v>
      </c>
      <c r="W300" s="1" t="str">
        <f t="shared" si="13"/>
        <v>Yes</v>
      </c>
      <c r="X300" s="1"/>
      <c r="Y300" s="1"/>
      <c r="Z300" s="1"/>
      <c r="AA300" s="1"/>
    </row>
    <row r="301" spans="1:27" ht="14.4" x14ac:dyDescent="0.3">
      <c r="A301" s="1"/>
      <c r="B301" s="1"/>
      <c r="C301" s="1"/>
      <c r="D301" s="13">
        <v>55110</v>
      </c>
      <c r="E301" s="1" t="s">
        <v>248</v>
      </c>
      <c r="F301" s="14">
        <v>110222</v>
      </c>
      <c r="G301" s="14">
        <v>160290</v>
      </c>
      <c r="H301" s="14">
        <v>273150</v>
      </c>
      <c r="I301" s="14">
        <v>329403</v>
      </c>
      <c r="J301" s="14">
        <v>411471</v>
      </c>
      <c r="K301" s="14">
        <v>539994</v>
      </c>
      <c r="L301" s="14">
        <v>762441</v>
      </c>
      <c r="M301" s="14">
        <v>890890</v>
      </c>
      <c r="N301" s="14">
        <v>1094304</v>
      </c>
      <c r="O301" s="14">
        <v>1256321</v>
      </c>
      <c r="P301" s="14">
        <v>1440607</v>
      </c>
      <c r="Q301" s="14">
        <v>1609270</v>
      </c>
      <c r="R301" s="15">
        <v>0.01</v>
      </c>
      <c r="S301" s="11">
        <f t="shared" si="10"/>
        <v>1513622.6300000001</v>
      </c>
      <c r="T301" s="1" t="str">
        <f t="shared" si="11"/>
        <v>YES</v>
      </c>
      <c r="U301" s="15">
        <v>0.75</v>
      </c>
      <c r="V301" s="11">
        <f t="shared" si="12"/>
        <v>1135216.9725000001</v>
      </c>
      <c r="W301" s="1" t="str">
        <f t="shared" si="13"/>
        <v>Yes</v>
      </c>
      <c r="X301" s="1"/>
      <c r="Y301" s="1"/>
      <c r="Z301" s="1"/>
      <c r="AA301" s="1"/>
    </row>
    <row r="302" spans="1:27" ht="14.4" x14ac:dyDescent="0.3">
      <c r="A302" s="1"/>
      <c r="B302" s="1"/>
      <c r="C302" s="1"/>
      <c r="D302" s="13">
        <v>55120</v>
      </c>
      <c r="E302" s="1" t="s">
        <v>248</v>
      </c>
      <c r="F302" s="1"/>
      <c r="G302" s="14">
        <v>3548</v>
      </c>
      <c r="H302" s="14">
        <v>3548</v>
      </c>
      <c r="I302" s="14">
        <v>3548</v>
      </c>
      <c r="J302" s="14">
        <v>7095</v>
      </c>
      <c r="K302" s="14">
        <v>22621</v>
      </c>
      <c r="L302" s="14">
        <v>24976</v>
      </c>
      <c r="M302" s="14">
        <v>28823</v>
      </c>
      <c r="N302" s="14">
        <v>32622</v>
      </c>
      <c r="O302" s="14">
        <v>36171</v>
      </c>
      <c r="P302" s="14">
        <v>36419</v>
      </c>
      <c r="Q302" s="14">
        <v>40217</v>
      </c>
      <c r="R302" s="15">
        <v>0.01</v>
      </c>
      <c r="S302" s="11">
        <f t="shared" si="10"/>
        <v>1513622.6300000001</v>
      </c>
      <c r="T302" s="1" t="str">
        <f t="shared" si="11"/>
        <v>NO</v>
      </c>
      <c r="U302" s="15">
        <v>0.75</v>
      </c>
      <c r="V302" s="11">
        <f t="shared" si="12"/>
        <v>1135216.9725000001</v>
      </c>
      <c r="W302" s="1" t="str">
        <f t="shared" si="13"/>
        <v>No</v>
      </c>
      <c r="X302" s="1"/>
      <c r="Y302" s="1"/>
      <c r="Z302" s="1"/>
      <c r="AA302" s="1"/>
    </row>
    <row r="303" spans="1:27" ht="14.4" x14ac:dyDescent="0.3">
      <c r="A303" s="1"/>
      <c r="B303" s="1"/>
      <c r="C303" s="1"/>
      <c r="D303" s="13">
        <v>55130</v>
      </c>
      <c r="E303" s="1" t="s">
        <v>248</v>
      </c>
      <c r="F303" s="1"/>
      <c r="G303" s="1"/>
      <c r="H303" s="1"/>
      <c r="I303" s="1"/>
      <c r="J303" s="13">
        <v>-550</v>
      </c>
      <c r="K303" s="13">
        <v>-550</v>
      </c>
      <c r="L303" s="13">
        <v>-550</v>
      </c>
      <c r="M303" s="13">
        <v>-550</v>
      </c>
      <c r="N303" s="13">
        <v>-550</v>
      </c>
      <c r="O303" s="13">
        <v>-550</v>
      </c>
      <c r="P303" s="13">
        <v>-550</v>
      </c>
      <c r="Q303" s="13">
        <v>-550</v>
      </c>
      <c r="R303" s="15">
        <v>0.01</v>
      </c>
      <c r="S303" s="11">
        <f t="shared" si="10"/>
        <v>1513622.6300000001</v>
      </c>
      <c r="T303" s="1" t="str">
        <f t="shared" si="11"/>
        <v>NO</v>
      </c>
      <c r="U303" s="15">
        <v>0.75</v>
      </c>
      <c r="V303" s="11">
        <f t="shared" si="12"/>
        <v>1135216.9725000001</v>
      </c>
      <c r="W303" s="1" t="str">
        <f t="shared" si="13"/>
        <v>No</v>
      </c>
      <c r="X303" s="1"/>
      <c r="Y303" s="1"/>
      <c r="Z303" s="1"/>
      <c r="AA303" s="1"/>
    </row>
    <row r="304" spans="1:27" ht="14.4" x14ac:dyDescent="0.3">
      <c r="A304" s="1"/>
      <c r="B304" s="1"/>
      <c r="C304" s="1"/>
      <c r="D304" s="13">
        <v>55140</v>
      </c>
      <c r="E304" s="1" t="s">
        <v>248</v>
      </c>
      <c r="F304" s="14">
        <v>13499</v>
      </c>
      <c r="G304" s="14">
        <v>32539</v>
      </c>
      <c r="H304" s="14">
        <v>57422</v>
      </c>
      <c r="I304" s="14">
        <v>112537</v>
      </c>
      <c r="J304" s="14">
        <v>138630</v>
      </c>
      <c r="K304" s="14">
        <v>165033</v>
      </c>
      <c r="L304" s="14">
        <v>232159</v>
      </c>
      <c r="M304" s="14">
        <v>288266</v>
      </c>
      <c r="N304" s="14">
        <v>340734</v>
      </c>
      <c r="O304" s="14">
        <v>385586</v>
      </c>
      <c r="P304" s="14">
        <v>425220</v>
      </c>
      <c r="Q304" s="14">
        <v>449306</v>
      </c>
      <c r="R304" s="15">
        <v>0.01</v>
      </c>
      <c r="S304" s="11">
        <f t="shared" si="10"/>
        <v>1513622.6300000001</v>
      </c>
      <c r="T304" s="1" t="str">
        <f t="shared" si="11"/>
        <v>NO</v>
      </c>
      <c r="U304" s="15">
        <v>0.75</v>
      </c>
      <c r="V304" s="11">
        <f t="shared" si="12"/>
        <v>1135216.9725000001</v>
      </c>
      <c r="W304" s="1" t="str">
        <f t="shared" si="13"/>
        <v>No</v>
      </c>
      <c r="X304" s="1"/>
      <c r="Y304" s="1"/>
      <c r="Z304" s="1"/>
      <c r="AA304" s="1"/>
    </row>
    <row r="305" spans="1:27" ht="14.4" x14ac:dyDescent="0.3">
      <c r="A305" s="1"/>
      <c r="B305" s="1"/>
      <c r="C305" s="1"/>
      <c r="D305" s="13">
        <v>55200</v>
      </c>
      <c r="E305" s="1" t="s">
        <v>249</v>
      </c>
      <c r="F305" s="14">
        <v>338624</v>
      </c>
      <c r="G305" s="14">
        <v>618092</v>
      </c>
      <c r="H305" s="14">
        <v>937955</v>
      </c>
      <c r="I305" s="14">
        <v>1295746</v>
      </c>
      <c r="J305" s="14">
        <v>1599604</v>
      </c>
      <c r="K305" s="14">
        <v>1891751</v>
      </c>
      <c r="L305" s="14">
        <v>2267204</v>
      </c>
      <c r="M305" s="14">
        <v>2608371</v>
      </c>
      <c r="N305" s="14">
        <v>3085879</v>
      </c>
      <c r="O305" s="14">
        <v>3563051</v>
      </c>
      <c r="P305" s="14">
        <v>4069092</v>
      </c>
      <c r="Q305" s="14">
        <v>4543469</v>
      </c>
      <c r="R305" s="15">
        <v>0.01</v>
      </c>
      <c r="S305" s="11">
        <f t="shared" si="10"/>
        <v>1513622.6300000001</v>
      </c>
      <c r="T305" s="1" t="str">
        <f t="shared" si="11"/>
        <v>YES</v>
      </c>
      <c r="U305" s="15">
        <v>0.75</v>
      </c>
      <c r="V305" s="11">
        <f t="shared" si="12"/>
        <v>1135216.9725000001</v>
      </c>
      <c r="W305" s="1" t="str">
        <f t="shared" si="13"/>
        <v>Yes</v>
      </c>
      <c r="X305" s="1"/>
      <c r="Y305" s="1"/>
      <c r="Z305" s="1"/>
      <c r="AA305" s="1"/>
    </row>
    <row r="306" spans="1:27" ht="14.4" x14ac:dyDescent="0.3">
      <c r="A306" s="1"/>
      <c r="B306" s="1"/>
      <c r="C306" s="1"/>
      <c r="D306" s="13">
        <v>55300</v>
      </c>
      <c r="E306" s="1" t="s">
        <v>250</v>
      </c>
      <c r="F306" s="14">
        <v>286473</v>
      </c>
      <c r="G306" s="14">
        <v>441150</v>
      </c>
      <c r="H306" s="14">
        <v>607163</v>
      </c>
      <c r="I306" s="14">
        <v>857619</v>
      </c>
      <c r="J306" s="14">
        <v>1279011</v>
      </c>
      <c r="K306" s="14">
        <v>1619629</v>
      </c>
      <c r="L306" s="14">
        <v>1914258</v>
      </c>
      <c r="M306" s="14">
        <v>2267673</v>
      </c>
      <c r="N306" s="14">
        <v>2718356</v>
      </c>
      <c r="O306" s="14">
        <v>3253208</v>
      </c>
      <c r="P306" s="14">
        <v>3593098</v>
      </c>
      <c r="Q306" s="14">
        <v>3958002</v>
      </c>
      <c r="R306" s="15">
        <v>0.01</v>
      </c>
      <c r="S306" s="11">
        <f t="shared" si="10"/>
        <v>1513622.6300000001</v>
      </c>
      <c r="T306" s="1" t="str">
        <f t="shared" si="11"/>
        <v>YES</v>
      </c>
      <c r="U306" s="15">
        <v>0.75</v>
      </c>
      <c r="V306" s="11">
        <f t="shared" si="12"/>
        <v>1135216.9725000001</v>
      </c>
      <c r="W306" s="1" t="str">
        <f t="shared" si="13"/>
        <v>Yes</v>
      </c>
      <c r="X306" s="1"/>
      <c r="Y306" s="1"/>
      <c r="Z306" s="1"/>
      <c r="AA306" s="1"/>
    </row>
    <row r="307" spans="1:27" ht="14.4" x14ac:dyDescent="0.3">
      <c r="A307" s="1"/>
      <c r="B307" s="1"/>
      <c r="C307" s="1"/>
      <c r="D307" s="13">
        <v>56000</v>
      </c>
      <c r="E307" s="1" t="s">
        <v>251</v>
      </c>
      <c r="F307" s="14">
        <v>1567933</v>
      </c>
      <c r="G307" s="14">
        <v>3268959</v>
      </c>
      <c r="H307" s="14">
        <v>4867749</v>
      </c>
      <c r="I307" s="14">
        <v>6265040</v>
      </c>
      <c r="J307" s="14">
        <v>7828637</v>
      </c>
      <c r="K307" s="14">
        <v>9378168</v>
      </c>
      <c r="L307" s="14">
        <v>11251498</v>
      </c>
      <c r="M307" s="14">
        <v>12649559</v>
      </c>
      <c r="N307" s="14">
        <v>14686600</v>
      </c>
      <c r="O307" s="14">
        <v>16720936</v>
      </c>
      <c r="P307" s="14">
        <v>19157903</v>
      </c>
      <c r="Q307" s="14">
        <v>22348859</v>
      </c>
      <c r="R307" s="15">
        <v>0.01</v>
      </c>
      <c r="S307" s="11">
        <f t="shared" si="10"/>
        <v>1513622.6300000001</v>
      </c>
      <c r="T307" s="1" t="str">
        <f t="shared" si="11"/>
        <v>YES</v>
      </c>
      <c r="U307" s="15">
        <v>0.75</v>
      </c>
      <c r="V307" s="11">
        <f t="shared" si="12"/>
        <v>1135216.9725000001</v>
      </c>
      <c r="W307" s="1" t="str">
        <f t="shared" si="13"/>
        <v>Yes</v>
      </c>
      <c r="X307" s="1"/>
      <c r="Y307" s="1"/>
      <c r="Z307" s="1"/>
      <c r="AA307" s="1"/>
    </row>
    <row r="308" spans="1:27" ht="14.4" x14ac:dyDescent="0.3">
      <c r="A308" s="1"/>
      <c r="B308" s="1"/>
      <c r="C308" s="1"/>
      <c r="D308" s="13">
        <v>56010</v>
      </c>
      <c r="E308" s="1" t="s">
        <v>252</v>
      </c>
      <c r="F308" s="1"/>
      <c r="G308" s="1"/>
      <c r="H308" s="1"/>
      <c r="I308" s="1"/>
      <c r="J308" s="13">
        <v>156</v>
      </c>
      <c r="K308" s="13">
        <v>156</v>
      </c>
      <c r="L308" s="13">
        <v>156</v>
      </c>
      <c r="M308" s="13">
        <v>156</v>
      </c>
      <c r="N308" s="13">
        <v>203</v>
      </c>
      <c r="O308" s="13">
        <v>897</v>
      </c>
      <c r="P308" s="13">
        <v>897</v>
      </c>
      <c r="Q308" s="13">
        <v>897</v>
      </c>
      <c r="R308" s="15">
        <v>0.01</v>
      </c>
      <c r="S308" s="11">
        <f t="shared" si="10"/>
        <v>1513622.6300000001</v>
      </c>
      <c r="T308" s="1" t="str">
        <f t="shared" si="11"/>
        <v>NO</v>
      </c>
      <c r="U308" s="15">
        <v>0.75</v>
      </c>
      <c r="V308" s="11">
        <f t="shared" si="12"/>
        <v>1135216.9725000001</v>
      </c>
      <c r="W308" s="1" t="str">
        <f t="shared" si="13"/>
        <v>No</v>
      </c>
      <c r="X308" s="1"/>
      <c r="Y308" s="1"/>
      <c r="Z308" s="1"/>
      <c r="AA308" s="1"/>
    </row>
    <row r="309" spans="1:27" ht="14.4" x14ac:dyDescent="0.3">
      <c r="A309" s="1"/>
      <c r="B309" s="1"/>
      <c r="C309" s="1"/>
      <c r="D309" s="13">
        <v>56015</v>
      </c>
      <c r="E309" s="1" t="s">
        <v>253</v>
      </c>
      <c r="F309" s="14">
        <v>3951</v>
      </c>
      <c r="G309" s="14">
        <v>3951</v>
      </c>
      <c r="H309" s="14">
        <v>22927</v>
      </c>
      <c r="I309" s="14">
        <v>25857</v>
      </c>
      <c r="J309" s="14">
        <v>42334</v>
      </c>
      <c r="K309" s="14">
        <v>50263</v>
      </c>
      <c r="L309" s="14">
        <v>76907</v>
      </c>
      <c r="M309" s="14">
        <v>80209</v>
      </c>
      <c r="N309" s="14">
        <v>91783</v>
      </c>
      <c r="O309" s="14">
        <v>117887</v>
      </c>
      <c r="P309" s="14">
        <v>126115</v>
      </c>
      <c r="Q309" s="14">
        <v>154165</v>
      </c>
      <c r="R309" s="15">
        <v>0.01</v>
      </c>
      <c r="S309" s="11">
        <f t="shared" si="10"/>
        <v>1513622.6300000001</v>
      </c>
      <c r="T309" s="1" t="str">
        <f t="shared" si="11"/>
        <v>NO</v>
      </c>
      <c r="U309" s="15">
        <v>0.75</v>
      </c>
      <c r="V309" s="11">
        <f t="shared" si="12"/>
        <v>1135216.9725000001</v>
      </c>
      <c r="W309" s="1" t="str">
        <f t="shared" si="13"/>
        <v>No</v>
      </c>
      <c r="X309" s="1"/>
      <c r="Y309" s="1"/>
      <c r="Z309" s="1"/>
      <c r="AA309" s="1"/>
    </row>
    <row r="310" spans="1:27" ht="14.4" x14ac:dyDescent="0.3">
      <c r="A310" s="1"/>
      <c r="B310" s="1"/>
      <c r="C310" s="1"/>
      <c r="D310" s="13">
        <v>56025</v>
      </c>
      <c r="E310" s="1" t="s">
        <v>254</v>
      </c>
      <c r="F310" s="14">
        <v>13890</v>
      </c>
      <c r="G310" s="14">
        <v>37631</v>
      </c>
      <c r="H310" s="14">
        <v>43199</v>
      </c>
      <c r="I310" s="14">
        <v>49382</v>
      </c>
      <c r="J310" s="14">
        <v>76321</v>
      </c>
      <c r="K310" s="14">
        <v>97431</v>
      </c>
      <c r="L310" s="14">
        <v>103706</v>
      </c>
      <c r="M310" s="14">
        <v>124023</v>
      </c>
      <c r="N310" s="14">
        <v>131741</v>
      </c>
      <c r="O310" s="14">
        <v>148241</v>
      </c>
      <c r="P310" s="14">
        <v>152208</v>
      </c>
      <c r="Q310" s="14">
        <v>156960</v>
      </c>
      <c r="R310" s="15">
        <v>0.01</v>
      </c>
      <c r="S310" s="11">
        <f t="shared" si="10"/>
        <v>1513622.6300000001</v>
      </c>
      <c r="T310" s="1" t="str">
        <f t="shared" si="11"/>
        <v>NO</v>
      </c>
      <c r="U310" s="15">
        <v>0.75</v>
      </c>
      <c r="V310" s="11">
        <f t="shared" si="12"/>
        <v>1135216.9725000001</v>
      </c>
      <c r="W310" s="1" t="str">
        <f t="shared" si="13"/>
        <v>No</v>
      </c>
      <c r="X310" s="1"/>
      <c r="Y310" s="1"/>
      <c r="Z310" s="1"/>
      <c r="AA310" s="1"/>
    </row>
    <row r="311" spans="1:27" ht="14.4" x14ac:dyDescent="0.3">
      <c r="A311" s="1"/>
      <c r="B311" s="1"/>
      <c r="C311" s="1"/>
      <c r="D311" s="13">
        <v>57100</v>
      </c>
      <c r="E311" s="1" t="s">
        <v>255</v>
      </c>
      <c r="F311" s="14">
        <v>181406</v>
      </c>
      <c r="G311" s="14">
        <v>360266</v>
      </c>
      <c r="H311" s="14">
        <v>608373</v>
      </c>
      <c r="I311" s="14">
        <v>861076</v>
      </c>
      <c r="J311" s="14">
        <v>1162479</v>
      </c>
      <c r="K311" s="14">
        <v>1458921</v>
      </c>
      <c r="L311" s="14">
        <v>1753991</v>
      </c>
      <c r="M311" s="14">
        <v>2053232</v>
      </c>
      <c r="N311" s="14">
        <v>2350531</v>
      </c>
      <c r="O311" s="14">
        <v>2676357</v>
      </c>
      <c r="P311" s="14">
        <v>2951950</v>
      </c>
      <c r="Q311" s="14">
        <v>3178707</v>
      </c>
      <c r="R311" s="15">
        <v>0.01</v>
      </c>
      <c r="S311" s="11">
        <f t="shared" si="10"/>
        <v>1513622.6300000001</v>
      </c>
      <c r="T311" s="1" t="str">
        <f t="shared" si="11"/>
        <v>YES</v>
      </c>
      <c r="U311" s="15">
        <v>0.75</v>
      </c>
      <c r="V311" s="11">
        <f t="shared" si="12"/>
        <v>1135216.9725000001</v>
      </c>
      <c r="W311" s="1" t="str">
        <f t="shared" si="13"/>
        <v>Yes</v>
      </c>
      <c r="X311" s="1"/>
      <c r="Y311" s="1"/>
      <c r="Z311" s="1"/>
      <c r="AA311" s="1"/>
    </row>
    <row r="312" spans="1:27" ht="14.4" x14ac:dyDescent="0.3">
      <c r="A312" s="1"/>
      <c r="B312" s="1"/>
      <c r="C312" s="1"/>
      <c r="D312" s="13">
        <v>57200</v>
      </c>
      <c r="E312" s="1" t="s">
        <v>256</v>
      </c>
      <c r="F312" s="14">
        <v>100301</v>
      </c>
      <c r="G312" s="14">
        <v>209239</v>
      </c>
      <c r="H312" s="14">
        <v>320664</v>
      </c>
      <c r="I312" s="14">
        <v>452353</v>
      </c>
      <c r="J312" s="14">
        <v>575059</v>
      </c>
      <c r="K312" s="14">
        <v>685757</v>
      </c>
      <c r="L312" s="14">
        <v>1274359</v>
      </c>
      <c r="M312" s="14">
        <v>1809613</v>
      </c>
      <c r="N312" s="14">
        <v>2229741</v>
      </c>
      <c r="O312" s="14">
        <v>2710946</v>
      </c>
      <c r="P312" s="14">
        <v>2906849</v>
      </c>
      <c r="Q312" s="14">
        <v>1817626</v>
      </c>
      <c r="R312" s="15">
        <v>0.01</v>
      </c>
      <c r="S312" s="11">
        <f t="shared" si="10"/>
        <v>1513622.6300000001</v>
      </c>
      <c r="T312" s="1" t="str">
        <f t="shared" si="11"/>
        <v>YES</v>
      </c>
      <c r="U312" s="15">
        <v>0.75</v>
      </c>
      <c r="V312" s="11">
        <f t="shared" si="12"/>
        <v>1135216.9725000001</v>
      </c>
      <c r="W312" s="1" t="str">
        <f t="shared" si="13"/>
        <v>Yes</v>
      </c>
      <c r="X312" s="1"/>
      <c r="Y312" s="1"/>
      <c r="Z312" s="1"/>
      <c r="AA312" s="1"/>
    </row>
    <row r="313" spans="1:27" ht="14.4" x14ac:dyDescent="0.3">
      <c r="A313" s="1"/>
      <c r="B313" s="1"/>
      <c r="C313" s="1"/>
      <c r="D313" s="13">
        <v>57300</v>
      </c>
      <c r="E313" s="1" t="s">
        <v>257</v>
      </c>
      <c r="F313" s="14">
        <v>21260</v>
      </c>
      <c r="G313" s="14">
        <v>44084</v>
      </c>
      <c r="H313" s="14">
        <v>66364</v>
      </c>
      <c r="I313" s="14">
        <v>91131</v>
      </c>
      <c r="J313" s="14">
        <v>109899</v>
      </c>
      <c r="K313" s="14">
        <v>156556</v>
      </c>
      <c r="L313" s="14">
        <v>177441</v>
      </c>
      <c r="M313" s="14">
        <v>196270</v>
      </c>
      <c r="N313" s="14">
        <v>225163</v>
      </c>
      <c r="O313" s="14">
        <v>240741</v>
      </c>
      <c r="P313" s="14">
        <v>263740</v>
      </c>
      <c r="Q313" s="14">
        <v>282800</v>
      </c>
      <c r="R313" s="15">
        <v>0.01</v>
      </c>
      <c r="S313" s="11">
        <f t="shared" si="10"/>
        <v>1513622.6300000001</v>
      </c>
      <c r="T313" s="1" t="str">
        <f t="shared" si="11"/>
        <v>NO</v>
      </c>
      <c r="U313" s="15">
        <v>0.75</v>
      </c>
      <c r="V313" s="11">
        <f t="shared" si="12"/>
        <v>1135216.9725000001</v>
      </c>
      <c r="W313" s="1" t="str">
        <f t="shared" si="13"/>
        <v>No</v>
      </c>
      <c r="X313" s="1"/>
      <c r="Y313" s="1"/>
      <c r="Z313" s="1"/>
      <c r="AA313" s="1"/>
    </row>
    <row r="314" spans="1:27" ht="14.4" x14ac:dyDescent="0.3">
      <c r="A314" s="1"/>
      <c r="B314" s="1"/>
      <c r="C314" s="1"/>
      <c r="D314" s="13">
        <v>57500</v>
      </c>
      <c r="E314" s="1" t="s">
        <v>258</v>
      </c>
      <c r="F314" s="13">
        <v>75</v>
      </c>
      <c r="G314" s="13">
        <v>75</v>
      </c>
      <c r="H314" s="13">
        <v>178</v>
      </c>
      <c r="I314" s="13">
        <v>478</v>
      </c>
      <c r="J314" s="13">
        <v>478</v>
      </c>
      <c r="K314" s="13">
        <v>478</v>
      </c>
      <c r="L314" s="13">
        <v>478</v>
      </c>
      <c r="M314" s="13">
        <v>478</v>
      </c>
      <c r="N314" s="13">
        <v>478</v>
      </c>
      <c r="O314" s="13">
        <v>478</v>
      </c>
      <c r="P314" s="13">
        <v>478</v>
      </c>
      <c r="Q314" s="13">
        <v>478</v>
      </c>
      <c r="R314" s="15">
        <v>0.01</v>
      </c>
      <c r="S314" s="11">
        <f t="shared" si="10"/>
        <v>1513622.6300000001</v>
      </c>
      <c r="T314" s="1" t="str">
        <f t="shared" si="11"/>
        <v>NO</v>
      </c>
      <c r="U314" s="15">
        <v>0.75</v>
      </c>
      <c r="V314" s="11">
        <f t="shared" si="12"/>
        <v>1135216.9725000001</v>
      </c>
      <c r="W314" s="1" t="str">
        <f t="shared" si="13"/>
        <v>No</v>
      </c>
      <c r="X314" s="1"/>
      <c r="Y314" s="1"/>
      <c r="Z314" s="1"/>
      <c r="AA314" s="1"/>
    </row>
    <row r="315" spans="1:27" ht="14.4" x14ac:dyDescent="0.3">
      <c r="A315" s="1"/>
      <c r="B315" s="1"/>
      <c r="C315" s="1"/>
      <c r="D315" s="13">
        <v>57510</v>
      </c>
      <c r="E315" s="1" t="s">
        <v>259</v>
      </c>
      <c r="F315" s="14">
        <v>9651</v>
      </c>
      <c r="G315" s="14">
        <v>14479</v>
      </c>
      <c r="H315" s="14">
        <v>19414</v>
      </c>
      <c r="I315" s="14">
        <v>21120</v>
      </c>
      <c r="J315" s="14">
        <v>25817</v>
      </c>
      <c r="K315" s="14">
        <v>27471</v>
      </c>
      <c r="L315" s="14">
        <v>30643</v>
      </c>
      <c r="M315" s="14">
        <v>37554</v>
      </c>
      <c r="N315" s="14">
        <v>40077</v>
      </c>
      <c r="O315" s="14">
        <v>65235</v>
      </c>
      <c r="P315" s="14">
        <v>76303</v>
      </c>
      <c r="Q315" s="14">
        <v>83455</v>
      </c>
      <c r="R315" s="15">
        <v>0.01</v>
      </c>
      <c r="S315" s="11">
        <f t="shared" si="10"/>
        <v>1513622.6300000001</v>
      </c>
      <c r="T315" s="1" t="str">
        <f t="shared" si="11"/>
        <v>NO</v>
      </c>
      <c r="U315" s="15">
        <v>0.75</v>
      </c>
      <c r="V315" s="11">
        <f t="shared" si="12"/>
        <v>1135216.9725000001</v>
      </c>
      <c r="W315" s="1" t="str">
        <f t="shared" si="13"/>
        <v>No</v>
      </c>
      <c r="X315" s="1"/>
      <c r="Y315" s="1"/>
      <c r="Z315" s="1"/>
      <c r="AA315" s="1"/>
    </row>
    <row r="316" spans="1:27" ht="14.4" x14ac:dyDescent="0.3">
      <c r="A316" s="1"/>
      <c r="B316" s="1"/>
      <c r="C316" s="1"/>
      <c r="D316" s="13">
        <v>57515</v>
      </c>
      <c r="E316" s="1" t="s">
        <v>260</v>
      </c>
      <c r="F316" s="14">
        <v>7971</v>
      </c>
      <c r="G316" s="14">
        <v>16864</v>
      </c>
      <c r="H316" s="14">
        <v>25240</v>
      </c>
      <c r="I316" s="14">
        <v>35286</v>
      </c>
      <c r="J316" s="14">
        <v>45375</v>
      </c>
      <c r="K316" s="14">
        <v>57947</v>
      </c>
      <c r="L316" s="14">
        <v>62443</v>
      </c>
      <c r="M316" s="14">
        <v>69852</v>
      </c>
      <c r="N316" s="14">
        <v>74386</v>
      </c>
      <c r="O316" s="14">
        <v>97956</v>
      </c>
      <c r="P316" s="14">
        <v>109235</v>
      </c>
      <c r="Q316" s="14">
        <v>122598</v>
      </c>
      <c r="R316" s="15">
        <v>0.01</v>
      </c>
      <c r="S316" s="11">
        <f t="shared" si="10"/>
        <v>1513622.6300000001</v>
      </c>
      <c r="T316" s="1" t="str">
        <f t="shared" si="11"/>
        <v>NO</v>
      </c>
      <c r="U316" s="15">
        <v>0.75</v>
      </c>
      <c r="V316" s="11">
        <f t="shared" si="12"/>
        <v>1135216.9725000001</v>
      </c>
      <c r="W316" s="1" t="str">
        <f t="shared" si="13"/>
        <v>No</v>
      </c>
      <c r="X316" s="1"/>
      <c r="Y316" s="1"/>
      <c r="Z316" s="1"/>
      <c r="AA316" s="1"/>
    </row>
    <row r="317" spans="1:27" ht="14.4" x14ac:dyDescent="0.3">
      <c r="A317" s="1"/>
      <c r="B317" s="1"/>
      <c r="C317" s="1"/>
      <c r="D317" s="13">
        <v>57520</v>
      </c>
      <c r="E317" s="1" t="s">
        <v>261</v>
      </c>
      <c r="F317" s="14">
        <v>15580</v>
      </c>
      <c r="G317" s="14">
        <v>28046</v>
      </c>
      <c r="H317" s="14">
        <v>40809</v>
      </c>
      <c r="I317" s="14">
        <v>53557</v>
      </c>
      <c r="J317" s="14">
        <v>75541</v>
      </c>
      <c r="K317" s="14">
        <v>94129</v>
      </c>
      <c r="L317" s="14">
        <v>113458</v>
      </c>
      <c r="M317" s="14">
        <v>130839</v>
      </c>
      <c r="N317" s="14">
        <v>149804</v>
      </c>
      <c r="O317" s="14">
        <v>182318</v>
      </c>
      <c r="P317" s="14">
        <v>200237</v>
      </c>
      <c r="Q317" s="14">
        <v>225480</v>
      </c>
      <c r="R317" s="15">
        <v>0.01</v>
      </c>
      <c r="S317" s="11">
        <f t="shared" si="10"/>
        <v>1513622.6300000001</v>
      </c>
      <c r="T317" s="1" t="str">
        <f t="shared" si="11"/>
        <v>NO</v>
      </c>
      <c r="U317" s="15">
        <v>0.75</v>
      </c>
      <c r="V317" s="11">
        <f t="shared" si="12"/>
        <v>1135216.9725000001</v>
      </c>
      <c r="W317" s="1" t="str">
        <f t="shared" si="13"/>
        <v>No</v>
      </c>
      <c r="X317" s="1"/>
      <c r="Y317" s="1"/>
      <c r="Z317" s="1"/>
      <c r="AA317" s="1"/>
    </row>
    <row r="318" spans="1:27" ht="14.4" x14ac:dyDescent="0.3">
      <c r="A318" s="1"/>
      <c r="B318" s="1"/>
      <c r="C318" s="1"/>
      <c r="D318" s="13">
        <v>57530</v>
      </c>
      <c r="E318" s="1" t="s">
        <v>262</v>
      </c>
      <c r="F318" s="14">
        <v>10716</v>
      </c>
      <c r="G318" s="14">
        <v>21433</v>
      </c>
      <c r="H318" s="14">
        <v>32149</v>
      </c>
      <c r="I318" s="14">
        <v>42865</v>
      </c>
      <c r="J318" s="14">
        <v>53764</v>
      </c>
      <c r="K318" s="14">
        <v>64663</v>
      </c>
      <c r="L318" s="14">
        <v>75562</v>
      </c>
      <c r="M318" s="14">
        <v>86934</v>
      </c>
      <c r="N318" s="14">
        <v>100235</v>
      </c>
      <c r="O318" s="14">
        <v>118761</v>
      </c>
      <c r="P318" s="14">
        <v>140118</v>
      </c>
      <c r="Q318" s="14">
        <v>159774</v>
      </c>
      <c r="R318" s="15">
        <v>0.01</v>
      </c>
      <c r="S318" s="11">
        <f t="shared" si="10"/>
        <v>1513622.6300000001</v>
      </c>
      <c r="T318" s="1" t="str">
        <f t="shared" si="11"/>
        <v>NO</v>
      </c>
      <c r="U318" s="15">
        <v>0.75</v>
      </c>
      <c r="V318" s="11">
        <f t="shared" si="12"/>
        <v>1135216.9725000001</v>
      </c>
      <c r="W318" s="1" t="str">
        <f t="shared" si="13"/>
        <v>No</v>
      </c>
      <c r="X318" s="1"/>
      <c r="Y318" s="1"/>
      <c r="Z318" s="1"/>
      <c r="AA318" s="1"/>
    </row>
    <row r="319" spans="1:27" ht="14.4" x14ac:dyDescent="0.3">
      <c r="A319" s="1"/>
      <c r="B319" s="1"/>
      <c r="C319" s="1"/>
      <c r="D319" s="13">
        <v>57540</v>
      </c>
      <c r="E319" s="1" t="s">
        <v>263</v>
      </c>
      <c r="F319" s="14">
        <v>3483</v>
      </c>
      <c r="G319" s="14">
        <v>7525</v>
      </c>
      <c r="H319" s="14">
        <v>36991</v>
      </c>
      <c r="I319" s="14">
        <v>40720</v>
      </c>
      <c r="J319" s="14">
        <v>50113</v>
      </c>
      <c r="K319" s="14">
        <v>54366</v>
      </c>
      <c r="L319" s="14">
        <v>65670</v>
      </c>
      <c r="M319" s="14">
        <v>73099</v>
      </c>
      <c r="N319" s="14">
        <v>76366</v>
      </c>
      <c r="O319" s="14">
        <v>88301</v>
      </c>
      <c r="P319" s="14">
        <v>96197</v>
      </c>
      <c r="Q319" s="14">
        <v>113167</v>
      </c>
      <c r="R319" s="15">
        <v>0.01</v>
      </c>
      <c r="S319" s="11">
        <f t="shared" si="10"/>
        <v>1513622.6300000001</v>
      </c>
      <c r="T319" s="1" t="str">
        <f t="shared" si="11"/>
        <v>NO</v>
      </c>
      <c r="U319" s="15">
        <v>0.75</v>
      </c>
      <c r="V319" s="11">
        <f t="shared" si="12"/>
        <v>1135216.9725000001</v>
      </c>
      <c r="W319" s="1" t="str">
        <f t="shared" si="13"/>
        <v>No</v>
      </c>
      <c r="X319" s="1"/>
      <c r="Y319" s="1"/>
      <c r="Z319" s="1"/>
      <c r="AA319" s="1"/>
    </row>
    <row r="320" spans="1:27" ht="14.4" x14ac:dyDescent="0.3">
      <c r="A320" s="1"/>
      <c r="B320" s="1"/>
      <c r="C320" s="1"/>
      <c r="D320" s="13">
        <v>57550</v>
      </c>
      <c r="E320" s="1" t="s">
        <v>264</v>
      </c>
      <c r="F320" s="14">
        <v>1588</v>
      </c>
      <c r="G320" s="14">
        <v>2265</v>
      </c>
      <c r="H320" s="14">
        <v>3420</v>
      </c>
      <c r="I320" s="14">
        <v>7768</v>
      </c>
      <c r="J320" s="14">
        <v>10781</v>
      </c>
      <c r="K320" s="14">
        <v>11292</v>
      </c>
      <c r="L320" s="14">
        <v>11517</v>
      </c>
      <c r="M320" s="14">
        <v>11517</v>
      </c>
      <c r="N320" s="14">
        <v>11932</v>
      </c>
      <c r="O320" s="14">
        <v>12461</v>
      </c>
      <c r="P320" s="14">
        <v>9611</v>
      </c>
      <c r="Q320" s="14">
        <v>9881</v>
      </c>
      <c r="R320" s="15">
        <v>0.01</v>
      </c>
      <c r="S320" s="11">
        <f t="shared" si="10"/>
        <v>1513622.6300000001</v>
      </c>
      <c r="T320" s="1" t="str">
        <f t="shared" si="11"/>
        <v>NO</v>
      </c>
      <c r="U320" s="15">
        <v>0.75</v>
      </c>
      <c r="V320" s="11">
        <f t="shared" si="12"/>
        <v>1135216.9725000001</v>
      </c>
      <c r="W320" s="1" t="str">
        <f t="shared" si="13"/>
        <v>No</v>
      </c>
      <c r="X320" s="1"/>
      <c r="Y320" s="1"/>
      <c r="Z320" s="1"/>
      <c r="AA320" s="1"/>
    </row>
    <row r="321" spans="1:27" ht="14.4" x14ac:dyDescent="0.3">
      <c r="A321" s="1"/>
      <c r="B321" s="1"/>
      <c r="C321" s="1"/>
      <c r="D321" s="13">
        <v>57600</v>
      </c>
      <c r="E321" s="1" t="s">
        <v>265</v>
      </c>
      <c r="F321" s="14">
        <v>28526</v>
      </c>
      <c r="G321" s="14">
        <v>47586</v>
      </c>
      <c r="H321" s="14">
        <v>74442</v>
      </c>
      <c r="I321" s="14">
        <v>98170</v>
      </c>
      <c r="J321" s="14">
        <v>111308</v>
      </c>
      <c r="K321" s="14">
        <v>129403</v>
      </c>
      <c r="L321" s="14">
        <v>171288</v>
      </c>
      <c r="M321" s="14">
        <v>204308</v>
      </c>
      <c r="N321" s="14">
        <v>228721</v>
      </c>
      <c r="O321" s="14">
        <v>271249</v>
      </c>
      <c r="P321" s="14">
        <v>325569</v>
      </c>
      <c r="Q321" s="14">
        <v>358841</v>
      </c>
      <c r="R321" s="15">
        <v>0.01</v>
      </c>
      <c r="S321" s="11">
        <f t="shared" si="10"/>
        <v>1513622.6300000001</v>
      </c>
      <c r="T321" s="1" t="str">
        <f t="shared" si="11"/>
        <v>NO</v>
      </c>
      <c r="U321" s="15">
        <v>0.75</v>
      </c>
      <c r="V321" s="11">
        <f t="shared" si="12"/>
        <v>1135216.9725000001</v>
      </c>
      <c r="W321" s="1" t="str">
        <f t="shared" si="13"/>
        <v>No</v>
      </c>
      <c r="X321" s="1"/>
      <c r="Y321" s="1"/>
      <c r="Z321" s="1"/>
      <c r="AA321" s="1"/>
    </row>
    <row r="322" spans="1:27" ht="14.4" x14ac:dyDescent="0.3">
      <c r="A322" s="1"/>
      <c r="B322" s="1"/>
      <c r="C322" s="1"/>
      <c r="D322" s="13">
        <v>57610</v>
      </c>
      <c r="E322" s="1" t="s">
        <v>266</v>
      </c>
      <c r="F322" s="13">
        <v>354</v>
      </c>
      <c r="G322" s="13">
        <v>435</v>
      </c>
      <c r="H322" s="13">
        <v>435</v>
      </c>
      <c r="I322" s="13">
        <v>610</v>
      </c>
      <c r="J322" s="13">
        <v>623</v>
      </c>
      <c r="K322" s="14">
        <v>1089</v>
      </c>
      <c r="L322" s="14">
        <v>1594</v>
      </c>
      <c r="M322" s="14">
        <v>1761</v>
      </c>
      <c r="N322" s="14">
        <v>1761</v>
      </c>
      <c r="O322" s="14">
        <v>2317</v>
      </c>
      <c r="P322" s="14">
        <v>2357</v>
      </c>
      <c r="Q322" s="14">
        <v>3697</v>
      </c>
      <c r="R322" s="15">
        <v>0.01</v>
      </c>
      <c r="S322" s="11">
        <f t="shared" si="10"/>
        <v>1513622.6300000001</v>
      </c>
      <c r="T322" s="1" t="str">
        <f t="shared" si="11"/>
        <v>NO</v>
      </c>
      <c r="U322" s="15">
        <v>0.75</v>
      </c>
      <c r="V322" s="11">
        <f t="shared" si="12"/>
        <v>1135216.9725000001</v>
      </c>
      <c r="W322" s="1" t="str">
        <f t="shared" si="13"/>
        <v>No</v>
      </c>
      <c r="X322" s="1"/>
      <c r="Y322" s="1"/>
      <c r="Z322" s="1"/>
      <c r="AA322" s="1"/>
    </row>
    <row r="323" spans="1:27" ht="14.4" x14ac:dyDescent="0.3">
      <c r="A323" s="1"/>
      <c r="B323" s="1"/>
      <c r="C323" s="1"/>
      <c r="D323" s="13">
        <v>57615</v>
      </c>
      <c r="E323" s="1" t="s">
        <v>267</v>
      </c>
      <c r="F323" s="13">
        <v>641</v>
      </c>
      <c r="G323" s="14">
        <v>1590</v>
      </c>
      <c r="H323" s="14">
        <v>2729</v>
      </c>
      <c r="I323" s="14">
        <v>3456</v>
      </c>
      <c r="J323" s="14">
        <v>4710</v>
      </c>
      <c r="K323" s="14">
        <v>5308</v>
      </c>
      <c r="L323" s="14">
        <v>6225</v>
      </c>
      <c r="M323" s="14">
        <v>7336</v>
      </c>
      <c r="N323" s="14">
        <v>8478</v>
      </c>
      <c r="O323" s="14">
        <v>9853</v>
      </c>
      <c r="P323" s="14">
        <v>11292</v>
      </c>
      <c r="Q323" s="14">
        <v>13503</v>
      </c>
      <c r="R323" s="15">
        <v>0.01</v>
      </c>
      <c r="S323" s="11">
        <f t="shared" si="10"/>
        <v>1513622.6300000001</v>
      </c>
      <c r="T323" s="1" t="str">
        <f t="shared" si="11"/>
        <v>NO</v>
      </c>
      <c r="U323" s="15">
        <v>0.75</v>
      </c>
      <c r="V323" s="11">
        <f t="shared" si="12"/>
        <v>1135216.9725000001</v>
      </c>
      <c r="W323" s="1" t="str">
        <f t="shared" si="13"/>
        <v>No</v>
      </c>
      <c r="X323" s="1"/>
      <c r="Y323" s="1"/>
      <c r="Z323" s="1"/>
      <c r="AA323" s="1"/>
    </row>
    <row r="324" spans="1:27" ht="14.4" x14ac:dyDescent="0.3">
      <c r="A324" s="1"/>
      <c r="B324" s="1"/>
      <c r="C324" s="1"/>
      <c r="D324" s="13">
        <v>57620</v>
      </c>
      <c r="E324" s="1" t="s">
        <v>268</v>
      </c>
      <c r="F324" s="14">
        <v>1847</v>
      </c>
      <c r="G324" s="14">
        <v>3857</v>
      </c>
      <c r="H324" s="14">
        <v>7994</v>
      </c>
      <c r="I324" s="14">
        <v>11673</v>
      </c>
      <c r="J324" s="14">
        <v>12810</v>
      </c>
      <c r="K324" s="14">
        <v>23475</v>
      </c>
      <c r="L324" s="14">
        <v>25204</v>
      </c>
      <c r="M324" s="14">
        <v>26094</v>
      </c>
      <c r="N324" s="14">
        <v>28068</v>
      </c>
      <c r="O324" s="14">
        <v>30775</v>
      </c>
      <c r="P324" s="14">
        <v>33572</v>
      </c>
      <c r="Q324" s="14">
        <v>41139</v>
      </c>
      <c r="R324" s="15">
        <v>0.01</v>
      </c>
      <c r="S324" s="11">
        <f t="shared" si="10"/>
        <v>1513622.6300000001</v>
      </c>
      <c r="T324" s="1" t="str">
        <f t="shared" si="11"/>
        <v>NO</v>
      </c>
      <c r="U324" s="15">
        <v>0.75</v>
      </c>
      <c r="V324" s="11">
        <f t="shared" si="12"/>
        <v>1135216.9725000001</v>
      </c>
      <c r="W324" s="1" t="str">
        <f t="shared" si="13"/>
        <v>No</v>
      </c>
      <c r="X324" s="1"/>
      <c r="Y324" s="1"/>
      <c r="Z324" s="1"/>
      <c r="AA324" s="1"/>
    </row>
    <row r="325" spans="1:27" ht="14.4" x14ac:dyDescent="0.3">
      <c r="A325" s="1"/>
      <c r="B325" s="1"/>
      <c r="C325" s="1"/>
      <c r="D325" s="13">
        <v>57622</v>
      </c>
      <c r="E325" s="1" t="s">
        <v>269</v>
      </c>
      <c r="F325" s="13">
        <v>978</v>
      </c>
      <c r="G325" s="14">
        <v>2229</v>
      </c>
      <c r="H325" s="14">
        <v>3814</v>
      </c>
      <c r="I325" s="14">
        <v>4734</v>
      </c>
      <c r="J325" s="14">
        <v>4960</v>
      </c>
      <c r="K325" s="14">
        <v>5741</v>
      </c>
      <c r="L325" s="14">
        <v>5843</v>
      </c>
      <c r="M325" s="14">
        <v>7665</v>
      </c>
      <c r="N325" s="14">
        <v>8739</v>
      </c>
      <c r="O325" s="14">
        <v>10747</v>
      </c>
      <c r="P325" s="14">
        <v>11969</v>
      </c>
      <c r="Q325" s="14">
        <v>13514</v>
      </c>
      <c r="R325" s="15">
        <v>0.01</v>
      </c>
      <c r="S325" s="11">
        <f t="shared" si="10"/>
        <v>1513622.6300000001</v>
      </c>
      <c r="T325" s="1" t="str">
        <f t="shared" si="11"/>
        <v>NO</v>
      </c>
      <c r="U325" s="15">
        <v>0.75</v>
      </c>
      <c r="V325" s="11">
        <f t="shared" si="12"/>
        <v>1135216.9725000001</v>
      </c>
      <c r="W325" s="1" t="str">
        <f t="shared" si="13"/>
        <v>No</v>
      </c>
      <c r="X325" s="1"/>
      <c r="Y325" s="1"/>
      <c r="Z325" s="1"/>
      <c r="AA325" s="1"/>
    </row>
    <row r="326" spans="1:27" ht="14.4" x14ac:dyDescent="0.3">
      <c r="A326" s="1"/>
      <c r="B326" s="1"/>
      <c r="C326" s="1"/>
      <c r="D326" s="13">
        <v>57630</v>
      </c>
      <c r="E326" s="1" t="s">
        <v>270</v>
      </c>
      <c r="F326" s="13">
        <v>324</v>
      </c>
      <c r="G326" s="13">
        <v>324</v>
      </c>
      <c r="H326" s="13">
        <v>959</v>
      </c>
      <c r="I326" s="13">
        <v>959</v>
      </c>
      <c r="J326" s="14">
        <v>6029</v>
      </c>
      <c r="K326" s="14">
        <v>6048</v>
      </c>
      <c r="L326" s="14">
        <v>6153</v>
      </c>
      <c r="M326" s="14">
        <v>6153</v>
      </c>
      <c r="N326" s="14">
        <v>6153</v>
      </c>
      <c r="O326" s="14">
        <v>6153</v>
      </c>
      <c r="P326" s="14">
        <v>6588</v>
      </c>
      <c r="Q326" s="14">
        <v>7194</v>
      </c>
      <c r="R326" s="15">
        <v>0.01</v>
      </c>
      <c r="S326" s="11">
        <f t="shared" si="10"/>
        <v>1513622.6300000001</v>
      </c>
      <c r="T326" s="1" t="str">
        <f t="shared" si="11"/>
        <v>NO</v>
      </c>
      <c r="U326" s="15">
        <v>0.75</v>
      </c>
      <c r="V326" s="11">
        <f t="shared" si="12"/>
        <v>1135216.9725000001</v>
      </c>
      <c r="W326" s="1" t="str">
        <f t="shared" si="13"/>
        <v>No</v>
      </c>
      <c r="X326" s="1"/>
      <c r="Y326" s="1"/>
      <c r="Z326" s="1"/>
      <c r="AA326" s="1"/>
    </row>
    <row r="327" spans="1:27" ht="14.4" x14ac:dyDescent="0.3">
      <c r="A327" s="1"/>
      <c r="B327" s="1"/>
      <c r="C327" s="1"/>
      <c r="D327" s="13">
        <v>57650</v>
      </c>
      <c r="E327" s="1" t="s">
        <v>271</v>
      </c>
      <c r="F327" s="14">
        <v>7395</v>
      </c>
      <c r="G327" s="14">
        <v>19274</v>
      </c>
      <c r="H327" s="14">
        <v>21789</v>
      </c>
      <c r="I327" s="14">
        <v>26159</v>
      </c>
      <c r="J327" s="14">
        <v>50308</v>
      </c>
      <c r="K327" s="14">
        <v>55528</v>
      </c>
      <c r="L327" s="14">
        <v>59475</v>
      </c>
      <c r="M327" s="14">
        <v>61631</v>
      </c>
      <c r="N327" s="14">
        <v>81219</v>
      </c>
      <c r="O327" s="14">
        <v>87427</v>
      </c>
      <c r="P327" s="14">
        <v>90870</v>
      </c>
      <c r="Q327" s="14">
        <v>97515</v>
      </c>
      <c r="R327" s="15">
        <v>0.01</v>
      </c>
      <c r="S327" s="11">
        <f t="shared" si="10"/>
        <v>1513622.6300000001</v>
      </c>
      <c r="T327" s="1" t="str">
        <f t="shared" si="11"/>
        <v>NO</v>
      </c>
      <c r="U327" s="15">
        <v>0.75</v>
      </c>
      <c r="V327" s="11">
        <f t="shared" si="12"/>
        <v>1135216.9725000001</v>
      </c>
      <c r="W327" s="1" t="str">
        <f t="shared" si="13"/>
        <v>No</v>
      </c>
      <c r="X327" s="1"/>
      <c r="Y327" s="1"/>
      <c r="Z327" s="1"/>
      <c r="AA327" s="1"/>
    </row>
    <row r="328" spans="1:27" ht="14.4" x14ac:dyDescent="0.3">
      <c r="A328" s="1"/>
      <c r="B328" s="1"/>
      <c r="C328" s="1"/>
      <c r="D328" s="13">
        <v>57660</v>
      </c>
      <c r="E328" s="1" t="s">
        <v>272</v>
      </c>
      <c r="F328" s="1"/>
      <c r="G328" s="1"/>
      <c r="H328" s="1"/>
      <c r="I328" s="1"/>
      <c r="J328" s="1"/>
      <c r="K328" s="14">
        <v>2139</v>
      </c>
      <c r="L328" s="14">
        <v>2139</v>
      </c>
      <c r="M328" s="14">
        <v>2139</v>
      </c>
      <c r="N328" s="14">
        <v>2139</v>
      </c>
      <c r="O328" s="14">
        <v>2139</v>
      </c>
      <c r="P328" s="14">
        <v>2139</v>
      </c>
      <c r="Q328" s="14">
        <v>2139</v>
      </c>
      <c r="R328" s="15">
        <v>0.01</v>
      </c>
      <c r="S328" s="11">
        <f t="shared" si="10"/>
        <v>1513622.6300000001</v>
      </c>
      <c r="T328" s="1" t="str">
        <f t="shared" si="11"/>
        <v>NO</v>
      </c>
      <c r="U328" s="15">
        <v>0.75</v>
      </c>
      <c r="V328" s="11">
        <f t="shared" si="12"/>
        <v>1135216.9725000001</v>
      </c>
      <c r="W328" s="1" t="str">
        <f t="shared" si="13"/>
        <v>No</v>
      </c>
      <c r="X328" s="1"/>
      <c r="Y328" s="1"/>
      <c r="Z328" s="1"/>
      <c r="AA328" s="1"/>
    </row>
    <row r="329" spans="1:27" ht="14.4" x14ac:dyDescent="0.3">
      <c r="A329" s="1"/>
      <c r="B329" s="1"/>
      <c r="C329" s="1"/>
      <c r="D329" s="13">
        <v>57670</v>
      </c>
      <c r="E329" s="1" t="s">
        <v>273</v>
      </c>
      <c r="F329" s="14">
        <v>8930</v>
      </c>
      <c r="G329" s="14">
        <v>12652</v>
      </c>
      <c r="H329" s="14">
        <v>12783</v>
      </c>
      <c r="I329" s="14">
        <v>13732</v>
      </c>
      <c r="J329" s="14">
        <v>15351</v>
      </c>
      <c r="K329" s="14">
        <v>15986</v>
      </c>
      <c r="L329" s="14">
        <v>79349</v>
      </c>
      <c r="M329" s="14">
        <v>80946</v>
      </c>
      <c r="N329" s="14">
        <v>74286</v>
      </c>
      <c r="O329" s="14">
        <v>75700</v>
      </c>
      <c r="P329" s="14">
        <v>78563</v>
      </c>
      <c r="Q329" s="14">
        <v>85387</v>
      </c>
      <c r="R329" s="15">
        <v>0.01</v>
      </c>
      <c r="S329" s="11">
        <f t="shared" si="10"/>
        <v>1513622.6300000001</v>
      </c>
      <c r="T329" s="1" t="str">
        <f t="shared" si="11"/>
        <v>NO</v>
      </c>
      <c r="U329" s="15">
        <v>0.75</v>
      </c>
      <c r="V329" s="11">
        <f t="shared" si="12"/>
        <v>1135216.9725000001</v>
      </c>
      <c r="W329" s="1" t="str">
        <f t="shared" si="13"/>
        <v>No</v>
      </c>
      <c r="X329" s="1"/>
      <c r="Y329" s="1"/>
      <c r="Z329" s="1"/>
      <c r="AA329" s="1"/>
    </row>
    <row r="330" spans="1:27" ht="14.4" x14ac:dyDescent="0.3">
      <c r="A330" s="1"/>
      <c r="B330" s="1"/>
      <c r="C330" s="1"/>
      <c r="D330" s="13">
        <v>57700</v>
      </c>
      <c r="E330" s="1" t="s">
        <v>274</v>
      </c>
      <c r="F330" s="14">
        <v>6393</v>
      </c>
      <c r="G330" s="14">
        <v>19333</v>
      </c>
      <c r="H330" s="14">
        <v>27458</v>
      </c>
      <c r="I330" s="14">
        <v>38099</v>
      </c>
      <c r="J330" s="14">
        <v>49337</v>
      </c>
      <c r="K330" s="14">
        <v>62774</v>
      </c>
      <c r="L330" s="14">
        <v>75951</v>
      </c>
      <c r="M330" s="14">
        <v>88356</v>
      </c>
      <c r="N330" s="14">
        <v>104434</v>
      </c>
      <c r="O330" s="14">
        <v>125707</v>
      </c>
      <c r="P330" s="14">
        <v>156829</v>
      </c>
      <c r="Q330" s="14">
        <v>175574</v>
      </c>
      <c r="R330" s="15">
        <v>0.01</v>
      </c>
      <c r="S330" s="11">
        <f t="shared" si="10"/>
        <v>1513622.6300000001</v>
      </c>
      <c r="T330" s="1" t="str">
        <f t="shared" si="11"/>
        <v>NO</v>
      </c>
      <c r="U330" s="15">
        <v>0.75</v>
      </c>
      <c r="V330" s="11">
        <f t="shared" si="12"/>
        <v>1135216.9725000001</v>
      </c>
      <c r="W330" s="1" t="str">
        <f t="shared" si="13"/>
        <v>No</v>
      </c>
      <c r="X330" s="1"/>
      <c r="Y330" s="1"/>
      <c r="Z330" s="1"/>
      <c r="AA330" s="1"/>
    </row>
    <row r="331" spans="1:27" ht="14.4" x14ac:dyDescent="0.3">
      <c r="A331" s="1"/>
      <c r="B331" s="1"/>
      <c r="C331" s="1"/>
      <c r="D331" s="13">
        <v>57725</v>
      </c>
      <c r="E331" s="1" t="s">
        <v>275</v>
      </c>
      <c r="F331" s="14">
        <v>6141</v>
      </c>
      <c r="G331" s="14">
        <v>9780</v>
      </c>
      <c r="H331" s="14">
        <v>12309</v>
      </c>
      <c r="I331" s="14">
        <v>17717</v>
      </c>
      <c r="J331" s="14">
        <v>27523</v>
      </c>
      <c r="K331" s="14">
        <v>28531</v>
      </c>
      <c r="L331" s="14">
        <v>34109</v>
      </c>
      <c r="M331" s="14">
        <v>35849</v>
      </c>
      <c r="N331" s="14">
        <v>38709</v>
      </c>
      <c r="O331" s="14">
        <v>44147</v>
      </c>
      <c r="P331" s="14">
        <v>47733</v>
      </c>
      <c r="Q331" s="14">
        <v>54461</v>
      </c>
      <c r="R331" s="15">
        <v>0.01</v>
      </c>
      <c r="S331" s="11">
        <f t="shared" si="10"/>
        <v>1513622.6300000001</v>
      </c>
      <c r="T331" s="1" t="str">
        <f t="shared" si="11"/>
        <v>NO</v>
      </c>
      <c r="U331" s="15">
        <v>0.75</v>
      </c>
      <c r="V331" s="11">
        <f t="shared" si="12"/>
        <v>1135216.9725000001</v>
      </c>
      <c r="W331" s="1" t="str">
        <f t="shared" si="13"/>
        <v>No</v>
      </c>
      <c r="X331" s="1"/>
      <c r="Y331" s="1"/>
      <c r="Z331" s="1"/>
      <c r="AA331" s="1"/>
    </row>
    <row r="332" spans="1:27" ht="14.4" x14ac:dyDescent="0.3">
      <c r="A332" s="1"/>
      <c r="B332" s="1"/>
      <c r="C332" s="1"/>
      <c r="D332" s="13">
        <v>57750</v>
      </c>
      <c r="E332" s="1" t="s">
        <v>276</v>
      </c>
      <c r="F332" s="14">
        <v>88134</v>
      </c>
      <c r="G332" s="14">
        <v>212020</v>
      </c>
      <c r="H332" s="14">
        <v>305120</v>
      </c>
      <c r="I332" s="14">
        <v>427438</v>
      </c>
      <c r="J332" s="14">
        <v>637894</v>
      </c>
      <c r="K332" s="14">
        <v>734106</v>
      </c>
      <c r="L332" s="14">
        <v>892564</v>
      </c>
      <c r="M332" s="14">
        <v>1073468</v>
      </c>
      <c r="N332" s="14">
        <v>1204223</v>
      </c>
      <c r="O332" s="14">
        <v>1450029</v>
      </c>
      <c r="P332" s="14">
        <v>1628911</v>
      </c>
      <c r="Q332" s="14">
        <v>1708412</v>
      </c>
      <c r="R332" s="15">
        <v>0.01</v>
      </c>
      <c r="S332" s="11">
        <f t="shared" si="10"/>
        <v>1513622.6300000001</v>
      </c>
      <c r="T332" s="1" t="str">
        <f t="shared" si="11"/>
        <v>YES</v>
      </c>
      <c r="U332" s="15">
        <v>0.75</v>
      </c>
      <c r="V332" s="11">
        <f t="shared" si="12"/>
        <v>1135216.9725000001</v>
      </c>
      <c r="W332" s="1" t="str">
        <f t="shared" si="13"/>
        <v>Yes</v>
      </c>
      <c r="X332" s="1"/>
      <c r="Y332" s="1"/>
      <c r="Z332" s="1"/>
      <c r="AA332" s="1"/>
    </row>
    <row r="333" spans="1:27" ht="14.4" x14ac:dyDescent="0.3">
      <c r="A333" s="1"/>
      <c r="B333" s="1"/>
      <c r="C333" s="1"/>
      <c r="D333" s="13">
        <v>57775</v>
      </c>
      <c r="E333" s="1" t="s">
        <v>277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4">
        <v>120590</v>
      </c>
      <c r="R333" s="15">
        <v>0.01</v>
      </c>
      <c r="S333" s="11">
        <f t="shared" si="10"/>
        <v>1513622.6300000001</v>
      </c>
      <c r="T333" s="1" t="str">
        <f t="shared" si="11"/>
        <v>NO</v>
      </c>
      <c r="U333" s="15">
        <v>0.75</v>
      </c>
      <c r="V333" s="11">
        <f t="shared" si="12"/>
        <v>1135216.9725000001</v>
      </c>
      <c r="W333" s="1" t="str">
        <f t="shared" si="13"/>
        <v>No</v>
      </c>
      <c r="X333" s="1"/>
      <c r="Y333" s="1"/>
      <c r="Z333" s="1"/>
      <c r="AA333" s="1"/>
    </row>
    <row r="334" spans="1:27" ht="14.4" x14ac:dyDescent="0.3">
      <c r="A334" s="1"/>
      <c r="B334" s="1"/>
      <c r="C334" s="1"/>
      <c r="D334" s="13">
        <v>57780</v>
      </c>
      <c r="E334" s="1" t="s">
        <v>278</v>
      </c>
      <c r="F334" s="13">
        <v>220</v>
      </c>
      <c r="G334" s="13">
        <v>922</v>
      </c>
      <c r="H334" s="13">
        <v>967</v>
      </c>
      <c r="I334" s="13">
        <v>967</v>
      </c>
      <c r="J334" s="14">
        <v>1672</v>
      </c>
      <c r="K334" s="14">
        <v>2115</v>
      </c>
      <c r="L334" s="14">
        <v>2115</v>
      </c>
      <c r="M334" s="14">
        <v>2176</v>
      </c>
      <c r="N334" s="14">
        <v>8168</v>
      </c>
      <c r="O334" s="14">
        <v>13174</v>
      </c>
      <c r="P334" s="14">
        <v>18673</v>
      </c>
      <c r="Q334" s="14">
        <v>23742</v>
      </c>
      <c r="R334" s="15">
        <v>0.01</v>
      </c>
      <c r="S334" s="11">
        <f t="shared" si="10"/>
        <v>1513622.6300000001</v>
      </c>
      <c r="T334" s="1" t="str">
        <f t="shared" si="11"/>
        <v>NO</v>
      </c>
      <c r="U334" s="15">
        <v>0.75</v>
      </c>
      <c r="V334" s="11">
        <f t="shared" ref="V334:V397" si="14">S334*U334</f>
        <v>1135216.9725000001</v>
      </c>
      <c r="W334" s="1" t="str">
        <f t="shared" ref="W334:W397" si="15">IF(ABS(Q334)&gt;V334,"Yes","No")</f>
        <v>No</v>
      </c>
      <c r="X334" s="1"/>
      <c r="Y334" s="1"/>
      <c r="Z334" s="1"/>
      <c r="AA334" s="1"/>
    </row>
    <row r="335" spans="1:27" ht="14.4" x14ac:dyDescent="0.3">
      <c r="A335" s="1"/>
      <c r="B335" s="1"/>
      <c r="C335" s="1"/>
      <c r="D335" s="13">
        <v>57790</v>
      </c>
      <c r="E335" s="1" t="s">
        <v>279</v>
      </c>
      <c r="F335" s="14">
        <v>1860</v>
      </c>
      <c r="G335" s="14">
        <v>1860</v>
      </c>
      <c r="H335" s="14">
        <v>1860</v>
      </c>
      <c r="I335" s="14">
        <v>1860</v>
      </c>
      <c r="J335" s="14">
        <v>1860</v>
      </c>
      <c r="K335" s="14">
        <v>1860</v>
      </c>
      <c r="L335" s="14">
        <v>1860</v>
      </c>
      <c r="M335" s="14">
        <v>1860</v>
      </c>
      <c r="N335" s="14">
        <v>1860</v>
      </c>
      <c r="O335" s="14">
        <v>1860</v>
      </c>
      <c r="P335" s="14">
        <v>1860</v>
      </c>
      <c r="Q335" s="14">
        <v>3060</v>
      </c>
      <c r="R335" s="15">
        <v>0.01</v>
      </c>
      <c r="S335" s="11">
        <f t="shared" si="10"/>
        <v>1513622.6300000001</v>
      </c>
      <c r="T335" s="1" t="str">
        <f t="shared" si="11"/>
        <v>NO</v>
      </c>
      <c r="U335" s="15">
        <v>0.75</v>
      </c>
      <c r="V335" s="11">
        <f t="shared" si="14"/>
        <v>1135216.9725000001</v>
      </c>
      <c r="W335" s="1" t="str">
        <f t="shared" si="15"/>
        <v>No</v>
      </c>
      <c r="X335" s="1"/>
      <c r="Y335" s="1"/>
      <c r="Z335" s="1"/>
      <c r="AA335" s="1"/>
    </row>
    <row r="336" spans="1:27" ht="14.4" x14ac:dyDescent="0.3">
      <c r="A336" s="1"/>
      <c r="B336" s="1"/>
      <c r="C336" s="1"/>
      <c r="D336" s="13">
        <v>57800</v>
      </c>
      <c r="E336" s="1" t="s">
        <v>280</v>
      </c>
      <c r="F336" s="14">
        <v>11703</v>
      </c>
      <c r="G336" s="14">
        <v>179594</v>
      </c>
      <c r="H336" s="14">
        <v>250317</v>
      </c>
      <c r="I336" s="14">
        <v>343244</v>
      </c>
      <c r="J336" s="14">
        <v>428647</v>
      </c>
      <c r="K336" s="14">
        <v>497146</v>
      </c>
      <c r="L336" s="14">
        <v>548432</v>
      </c>
      <c r="M336" s="14">
        <v>802048</v>
      </c>
      <c r="N336" s="14">
        <v>875658</v>
      </c>
      <c r="O336" s="14">
        <v>957666</v>
      </c>
      <c r="P336" s="14">
        <v>1074778</v>
      </c>
      <c r="Q336" s="14">
        <v>1114346</v>
      </c>
      <c r="R336" s="15">
        <v>0.01</v>
      </c>
      <c r="S336" s="11">
        <f t="shared" si="10"/>
        <v>1513622.6300000001</v>
      </c>
      <c r="T336" s="1" t="str">
        <f t="shared" si="11"/>
        <v>NO</v>
      </c>
      <c r="U336" s="15">
        <v>0.75</v>
      </c>
      <c r="V336" s="11">
        <f t="shared" si="14"/>
        <v>1135216.9725000001</v>
      </c>
      <c r="W336" s="1" t="str">
        <f t="shared" si="15"/>
        <v>No</v>
      </c>
      <c r="X336" s="1"/>
      <c r="Y336" s="1"/>
      <c r="Z336" s="1"/>
      <c r="AA336" s="1"/>
    </row>
    <row r="337" spans="1:27" ht="14.4" x14ac:dyDescent="0.3">
      <c r="A337" s="1"/>
      <c r="B337" s="1"/>
      <c r="C337" s="1"/>
      <c r="D337" s="13">
        <v>57810</v>
      </c>
      <c r="E337" s="1" t="s">
        <v>281</v>
      </c>
      <c r="F337" s="14">
        <v>1500</v>
      </c>
      <c r="G337" s="14">
        <v>1500</v>
      </c>
      <c r="H337" s="14">
        <v>2250</v>
      </c>
      <c r="I337" s="14">
        <v>4290</v>
      </c>
      <c r="J337" s="14">
        <v>6430</v>
      </c>
      <c r="K337" s="14">
        <v>7975</v>
      </c>
      <c r="L337" s="14">
        <v>10475</v>
      </c>
      <c r="M337" s="14">
        <v>11820</v>
      </c>
      <c r="N337" s="14">
        <v>12570</v>
      </c>
      <c r="O337" s="14">
        <v>13320</v>
      </c>
      <c r="P337" s="14">
        <v>14070</v>
      </c>
      <c r="Q337" s="14">
        <v>14894</v>
      </c>
      <c r="R337" s="15">
        <v>0.01</v>
      </c>
      <c r="S337" s="11">
        <f t="shared" si="10"/>
        <v>1513622.6300000001</v>
      </c>
      <c r="T337" s="1" t="str">
        <f t="shared" si="11"/>
        <v>NO</v>
      </c>
      <c r="U337" s="15">
        <v>0.75</v>
      </c>
      <c r="V337" s="11">
        <f t="shared" si="14"/>
        <v>1135216.9725000001</v>
      </c>
      <c r="W337" s="1" t="str">
        <f t="shared" si="15"/>
        <v>No</v>
      </c>
      <c r="X337" s="1"/>
      <c r="Y337" s="1"/>
      <c r="Z337" s="1"/>
      <c r="AA337" s="1"/>
    </row>
    <row r="338" spans="1:27" ht="14.4" x14ac:dyDescent="0.3">
      <c r="A338" s="1"/>
      <c r="B338" s="1"/>
      <c r="C338" s="1"/>
      <c r="D338" s="13">
        <v>57850</v>
      </c>
      <c r="E338" s="1" t="s">
        <v>282</v>
      </c>
      <c r="F338" s="14">
        <v>1018859</v>
      </c>
      <c r="G338" s="14">
        <v>2091755</v>
      </c>
      <c r="H338" s="14">
        <v>2617284</v>
      </c>
      <c r="I338" s="14">
        <v>3313191</v>
      </c>
      <c r="J338" s="14">
        <v>4213676</v>
      </c>
      <c r="K338" s="14">
        <v>4801126</v>
      </c>
      <c r="L338" s="14">
        <v>5883681</v>
      </c>
      <c r="M338" s="14">
        <v>6803183</v>
      </c>
      <c r="N338" s="14">
        <v>8287044</v>
      </c>
      <c r="O338" s="14">
        <v>9025615</v>
      </c>
      <c r="P338" s="14">
        <v>9949059</v>
      </c>
      <c r="Q338" s="14">
        <v>11213905</v>
      </c>
      <c r="R338" s="15">
        <v>0.01</v>
      </c>
      <c r="S338" s="11">
        <f t="shared" si="10"/>
        <v>1513622.6300000001</v>
      </c>
      <c r="T338" s="1" t="str">
        <f t="shared" si="11"/>
        <v>YES</v>
      </c>
      <c r="U338" s="15">
        <v>0.75</v>
      </c>
      <c r="V338" s="11">
        <f t="shared" si="14"/>
        <v>1135216.9725000001</v>
      </c>
      <c r="W338" s="1" t="str">
        <f t="shared" si="15"/>
        <v>Yes</v>
      </c>
      <c r="X338" s="1"/>
      <c r="Y338" s="1"/>
      <c r="Z338" s="1"/>
      <c r="AA338" s="1"/>
    </row>
    <row r="339" spans="1:27" ht="14.4" x14ac:dyDescent="0.3">
      <c r="A339" s="1"/>
      <c r="B339" s="1"/>
      <c r="C339" s="1"/>
      <c r="D339" s="13">
        <v>57855</v>
      </c>
      <c r="E339" s="1" t="s">
        <v>283</v>
      </c>
      <c r="F339" s="14">
        <v>249995</v>
      </c>
      <c r="G339" s="14">
        <v>374010</v>
      </c>
      <c r="H339" s="14">
        <v>498583</v>
      </c>
      <c r="I339" s="14">
        <v>697446</v>
      </c>
      <c r="J339" s="14">
        <v>426558</v>
      </c>
      <c r="K339" s="14">
        <v>539461</v>
      </c>
      <c r="L339" s="14">
        <v>699766</v>
      </c>
      <c r="M339" s="14">
        <v>822766</v>
      </c>
      <c r="N339" s="14">
        <v>931286</v>
      </c>
      <c r="O339" s="14">
        <v>1072566</v>
      </c>
      <c r="P339" s="14">
        <v>1137066</v>
      </c>
      <c r="Q339" s="14">
        <v>1040916</v>
      </c>
      <c r="R339" s="15">
        <v>0.01</v>
      </c>
      <c r="S339" s="11">
        <f t="shared" si="10"/>
        <v>1513622.6300000001</v>
      </c>
      <c r="T339" s="1" t="str">
        <f t="shared" si="11"/>
        <v>NO</v>
      </c>
      <c r="U339" s="15">
        <v>0.75</v>
      </c>
      <c r="V339" s="11">
        <f t="shared" si="14"/>
        <v>1135216.9725000001</v>
      </c>
      <c r="W339" s="1" t="str">
        <f t="shared" si="15"/>
        <v>No</v>
      </c>
      <c r="X339" s="1"/>
      <c r="Y339" s="1"/>
      <c r="Z339" s="1"/>
      <c r="AA339" s="1"/>
    </row>
    <row r="340" spans="1:27" ht="14.4" x14ac:dyDescent="0.3">
      <c r="A340" s="1"/>
      <c r="B340" s="1"/>
      <c r="C340" s="1"/>
      <c r="D340" s="13">
        <v>57856</v>
      </c>
      <c r="E340" s="1" t="s">
        <v>284</v>
      </c>
      <c r="F340" s="1"/>
      <c r="G340" s="1"/>
      <c r="H340" s="1"/>
      <c r="I340" s="1"/>
      <c r="J340" s="1"/>
      <c r="K340" s="1"/>
      <c r="L340" s="1"/>
      <c r="M340" s="1"/>
      <c r="N340" s="14">
        <v>41710</v>
      </c>
      <c r="O340" s="14">
        <v>181176</v>
      </c>
      <c r="P340" s="14">
        <v>291566</v>
      </c>
      <c r="Q340" s="14">
        <v>648923</v>
      </c>
      <c r="R340" s="15">
        <v>0.01</v>
      </c>
      <c r="S340" s="11">
        <f t="shared" si="10"/>
        <v>1513622.6300000001</v>
      </c>
      <c r="T340" s="1" t="str">
        <f t="shared" si="11"/>
        <v>NO</v>
      </c>
      <c r="U340" s="15">
        <v>0.75</v>
      </c>
      <c r="V340" s="11">
        <f t="shared" si="14"/>
        <v>1135216.9725000001</v>
      </c>
      <c r="W340" s="1" t="str">
        <f t="shared" si="15"/>
        <v>No</v>
      </c>
      <c r="X340" s="1"/>
      <c r="Y340" s="1"/>
      <c r="Z340" s="1"/>
      <c r="AA340" s="1"/>
    </row>
    <row r="341" spans="1:27" ht="14.4" x14ac:dyDescent="0.3">
      <c r="A341" s="1"/>
      <c r="B341" s="1"/>
      <c r="C341" s="1"/>
      <c r="D341" s="13">
        <v>57860</v>
      </c>
      <c r="E341" s="1" t="s">
        <v>285</v>
      </c>
      <c r="F341" s="14">
        <v>62176</v>
      </c>
      <c r="G341" s="14">
        <v>118351</v>
      </c>
      <c r="H341" s="14">
        <v>232157</v>
      </c>
      <c r="I341" s="14">
        <v>262328</v>
      </c>
      <c r="J341" s="14">
        <v>322191</v>
      </c>
      <c r="K341" s="14">
        <v>439528</v>
      </c>
      <c r="L341" s="14">
        <v>524253</v>
      </c>
      <c r="M341" s="14">
        <v>637219</v>
      </c>
      <c r="N341" s="14">
        <v>901189</v>
      </c>
      <c r="O341" s="14">
        <v>1154631</v>
      </c>
      <c r="P341" s="14">
        <v>1356785</v>
      </c>
      <c r="Q341" s="14">
        <v>1632624</v>
      </c>
      <c r="R341" s="15">
        <v>0.01</v>
      </c>
      <c r="S341" s="11">
        <f t="shared" si="10"/>
        <v>1513622.6300000001</v>
      </c>
      <c r="T341" s="1" t="str">
        <f t="shared" si="11"/>
        <v>YES</v>
      </c>
      <c r="U341" s="15">
        <v>0.75</v>
      </c>
      <c r="V341" s="11">
        <f t="shared" si="14"/>
        <v>1135216.9725000001</v>
      </c>
      <c r="W341" s="1" t="str">
        <f t="shared" si="15"/>
        <v>Yes</v>
      </c>
      <c r="X341" s="1"/>
      <c r="Y341" s="1"/>
      <c r="Z341" s="1"/>
      <c r="AA341" s="1"/>
    </row>
    <row r="342" spans="1:27" ht="14.4" x14ac:dyDescent="0.3">
      <c r="A342" s="1"/>
      <c r="B342" s="1"/>
      <c r="C342" s="1"/>
      <c r="D342" s="13">
        <v>58100</v>
      </c>
      <c r="E342" s="1" t="s">
        <v>286</v>
      </c>
      <c r="F342" s="14">
        <v>458476</v>
      </c>
      <c r="G342" s="14">
        <v>896315</v>
      </c>
      <c r="H342" s="14">
        <v>1345909</v>
      </c>
      <c r="I342" s="14">
        <v>1820042</v>
      </c>
      <c r="J342" s="14">
        <v>2277180</v>
      </c>
      <c r="K342" s="14">
        <v>2736709</v>
      </c>
      <c r="L342" s="14">
        <v>3217832</v>
      </c>
      <c r="M342" s="14">
        <v>3707119</v>
      </c>
      <c r="N342" s="14">
        <v>4355746</v>
      </c>
      <c r="O342" s="14">
        <v>5104477</v>
      </c>
      <c r="P342" s="14">
        <v>5853137</v>
      </c>
      <c r="Q342" s="14">
        <v>6791376</v>
      </c>
      <c r="R342" s="15">
        <v>0.01</v>
      </c>
      <c r="S342" s="11">
        <f t="shared" si="10"/>
        <v>1513622.6300000001</v>
      </c>
      <c r="T342" s="1" t="str">
        <f t="shared" si="11"/>
        <v>YES</v>
      </c>
      <c r="U342" s="15">
        <v>0.75</v>
      </c>
      <c r="V342" s="11">
        <f t="shared" si="14"/>
        <v>1135216.9725000001</v>
      </c>
      <c r="W342" s="1" t="str">
        <f t="shared" si="15"/>
        <v>Yes</v>
      </c>
      <c r="X342" s="1"/>
      <c r="Y342" s="1"/>
      <c r="Z342" s="1"/>
      <c r="AA342" s="1"/>
    </row>
    <row r="343" spans="1:27" ht="14.4" x14ac:dyDescent="0.3">
      <c r="A343" s="1"/>
      <c r="B343" s="1"/>
      <c r="C343" s="1"/>
      <c r="D343" s="13">
        <v>58150</v>
      </c>
      <c r="E343" s="1" t="s">
        <v>286</v>
      </c>
      <c r="F343" s="14">
        <v>29568</v>
      </c>
      <c r="G343" s="14">
        <v>52716</v>
      </c>
      <c r="H343" s="14">
        <v>79478</v>
      </c>
      <c r="I343" s="14">
        <v>101788</v>
      </c>
      <c r="J343" s="14">
        <v>132984</v>
      </c>
      <c r="K343" s="14">
        <v>163337</v>
      </c>
      <c r="L343" s="14">
        <v>190357</v>
      </c>
      <c r="M343" s="14">
        <v>222926</v>
      </c>
      <c r="N343" s="14">
        <v>266231</v>
      </c>
      <c r="O343" s="14">
        <v>291969</v>
      </c>
      <c r="P343" s="14">
        <v>318295</v>
      </c>
      <c r="Q343" s="14">
        <v>343686</v>
      </c>
      <c r="R343" s="15">
        <v>0.01</v>
      </c>
      <c r="S343" s="11">
        <f t="shared" si="10"/>
        <v>1513622.6300000001</v>
      </c>
      <c r="T343" s="1" t="str">
        <f t="shared" si="11"/>
        <v>NO</v>
      </c>
      <c r="U343" s="15">
        <v>0.75</v>
      </c>
      <c r="V343" s="11">
        <f t="shared" si="14"/>
        <v>1135216.9725000001</v>
      </c>
      <c r="W343" s="1" t="str">
        <f t="shared" si="15"/>
        <v>No</v>
      </c>
      <c r="X343" s="1"/>
      <c r="Y343" s="1"/>
      <c r="Z343" s="1"/>
      <c r="AA343" s="1"/>
    </row>
    <row r="344" spans="1:27" ht="14.4" x14ac:dyDescent="0.3">
      <c r="A344" s="1"/>
      <c r="B344" s="1"/>
      <c r="C344" s="1"/>
      <c r="D344" s="13">
        <v>58155</v>
      </c>
      <c r="E344" s="1" t="s">
        <v>286</v>
      </c>
      <c r="F344" s="14">
        <v>74304</v>
      </c>
      <c r="G344" s="14">
        <v>149124</v>
      </c>
      <c r="H344" s="14">
        <v>226970</v>
      </c>
      <c r="I344" s="14">
        <v>302183</v>
      </c>
      <c r="J344" s="14">
        <v>377656</v>
      </c>
      <c r="K344" s="14">
        <v>467077</v>
      </c>
      <c r="L344" s="14">
        <v>543114</v>
      </c>
      <c r="M344" s="14">
        <v>619013</v>
      </c>
      <c r="N344" s="14">
        <v>729718</v>
      </c>
      <c r="O344" s="14">
        <v>843738</v>
      </c>
      <c r="P344" s="14">
        <v>948127</v>
      </c>
      <c r="Q344" s="14">
        <v>937057</v>
      </c>
      <c r="R344" s="15">
        <v>0.01</v>
      </c>
      <c r="S344" s="11">
        <f t="shared" si="10"/>
        <v>1513622.6300000001</v>
      </c>
      <c r="T344" s="1" t="str">
        <f t="shared" si="11"/>
        <v>NO</v>
      </c>
      <c r="U344" s="15">
        <v>0.75</v>
      </c>
      <c r="V344" s="11">
        <f t="shared" si="14"/>
        <v>1135216.9725000001</v>
      </c>
      <c r="W344" s="1" t="str">
        <f t="shared" si="15"/>
        <v>No</v>
      </c>
      <c r="X344" s="1"/>
      <c r="Y344" s="1"/>
      <c r="Z344" s="1"/>
      <c r="AA344" s="1"/>
    </row>
    <row r="345" spans="1:27" ht="14.4" x14ac:dyDescent="0.3">
      <c r="A345" s="1"/>
      <c r="B345" s="1"/>
      <c r="C345" s="1"/>
      <c r="D345" s="13">
        <v>58156</v>
      </c>
      <c r="E345" s="1" t="s">
        <v>287</v>
      </c>
      <c r="F345" s="14">
        <v>15991</v>
      </c>
      <c r="G345" s="14">
        <v>37799</v>
      </c>
      <c r="H345" s="14">
        <v>59578</v>
      </c>
      <c r="I345" s="14">
        <v>82068</v>
      </c>
      <c r="J345" s="14">
        <v>105754</v>
      </c>
      <c r="K345" s="14">
        <v>142823</v>
      </c>
      <c r="L345" s="14">
        <v>175203</v>
      </c>
      <c r="M345" s="14">
        <v>208840</v>
      </c>
      <c r="N345" s="14">
        <v>243382</v>
      </c>
      <c r="O345" s="14">
        <v>283722</v>
      </c>
      <c r="P345" s="14">
        <v>304928</v>
      </c>
      <c r="Q345" s="14">
        <v>275364</v>
      </c>
      <c r="R345" s="15">
        <v>0.01</v>
      </c>
      <c r="S345" s="11">
        <f t="shared" si="10"/>
        <v>1513622.6300000001</v>
      </c>
      <c r="T345" s="1" t="str">
        <f t="shared" si="11"/>
        <v>NO</v>
      </c>
      <c r="U345" s="15">
        <v>0.75</v>
      </c>
      <c r="V345" s="11">
        <f t="shared" si="14"/>
        <v>1135216.9725000001</v>
      </c>
      <c r="W345" s="1" t="str">
        <f t="shared" si="15"/>
        <v>No</v>
      </c>
      <c r="X345" s="1"/>
      <c r="Y345" s="1"/>
      <c r="Z345" s="1"/>
      <c r="AA345" s="1"/>
    </row>
    <row r="346" spans="1:27" ht="14.4" x14ac:dyDescent="0.3">
      <c r="A346" s="1"/>
      <c r="B346" s="1"/>
      <c r="C346" s="1"/>
      <c r="D346" s="13">
        <v>58157</v>
      </c>
      <c r="E346" s="1" t="s">
        <v>287</v>
      </c>
      <c r="F346" s="1"/>
      <c r="G346" s="1"/>
      <c r="H346" s="1"/>
      <c r="I346" s="13">
        <v>594</v>
      </c>
      <c r="J346" s="13">
        <v>594</v>
      </c>
      <c r="K346" s="13">
        <v>594</v>
      </c>
      <c r="L346" s="13">
        <v>594</v>
      </c>
      <c r="M346" s="14">
        <v>1027</v>
      </c>
      <c r="N346" s="14">
        <v>1027</v>
      </c>
      <c r="O346" s="14">
        <v>1027</v>
      </c>
      <c r="P346" s="14">
        <v>1027</v>
      </c>
      <c r="Q346" s="14">
        <v>1027</v>
      </c>
      <c r="R346" s="15">
        <v>0.01</v>
      </c>
      <c r="S346" s="11">
        <f t="shared" si="10"/>
        <v>1513622.6300000001</v>
      </c>
      <c r="T346" s="1" t="str">
        <f t="shared" si="11"/>
        <v>NO</v>
      </c>
      <c r="U346" s="15">
        <v>0.75</v>
      </c>
      <c r="V346" s="11">
        <f t="shared" si="14"/>
        <v>1135216.9725000001</v>
      </c>
      <c r="W346" s="1" t="str">
        <f t="shared" si="15"/>
        <v>No</v>
      </c>
      <c r="X346" s="1"/>
      <c r="Y346" s="1"/>
      <c r="Z346" s="1"/>
      <c r="AA346" s="1"/>
    </row>
    <row r="347" spans="1:27" ht="14.4" x14ac:dyDescent="0.3">
      <c r="A347" s="1"/>
      <c r="B347" s="1"/>
      <c r="C347" s="1"/>
      <c r="D347" s="13">
        <v>58158</v>
      </c>
      <c r="E347" s="1" t="s">
        <v>232</v>
      </c>
      <c r="F347" s="14">
        <v>16500</v>
      </c>
      <c r="G347" s="14">
        <v>33300</v>
      </c>
      <c r="H347" s="14">
        <v>50250</v>
      </c>
      <c r="I347" s="14">
        <v>67650</v>
      </c>
      <c r="J347" s="14">
        <v>86100</v>
      </c>
      <c r="K347" s="14">
        <v>74658</v>
      </c>
      <c r="L347" s="14">
        <v>95058</v>
      </c>
      <c r="M347" s="14">
        <v>116508</v>
      </c>
      <c r="N347" s="14">
        <v>98016</v>
      </c>
      <c r="O347" s="14">
        <v>122946</v>
      </c>
      <c r="P347" s="14">
        <v>143826</v>
      </c>
      <c r="Q347" s="14">
        <v>109860</v>
      </c>
      <c r="R347" s="15">
        <v>0.01</v>
      </c>
      <c r="S347" s="11">
        <f t="shared" si="10"/>
        <v>1513622.6300000001</v>
      </c>
      <c r="T347" s="1" t="str">
        <f t="shared" si="11"/>
        <v>NO</v>
      </c>
      <c r="U347" s="15">
        <v>0.75</v>
      </c>
      <c r="V347" s="11">
        <f t="shared" si="14"/>
        <v>1135216.9725000001</v>
      </c>
      <c r="W347" s="1" t="str">
        <f t="shared" si="15"/>
        <v>No</v>
      </c>
      <c r="X347" s="1"/>
      <c r="Y347" s="1"/>
      <c r="Z347" s="1"/>
      <c r="AA347" s="1"/>
    </row>
    <row r="348" spans="1:27" ht="14.4" x14ac:dyDescent="0.3">
      <c r="A348" s="1"/>
      <c r="B348" s="1"/>
      <c r="C348" s="1"/>
      <c r="D348" s="13">
        <v>58511</v>
      </c>
      <c r="E348" s="1" t="s">
        <v>235</v>
      </c>
      <c r="F348" s="14">
        <v>23017</v>
      </c>
      <c r="G348" s="14">
        <v>46295</v>
      </c>
      <c r="H348" s="14">
        <v>76349</v>
      </c>
      <c r="I348" s="14">
        <v>104900</v>
      </c>
      <c r="J348" s="14">
        <v>140686</v>
      </c>
      <c r="K348" s="14">
        <v>215910</v>
      </c>
      <c r="L348" s="14">
        <v>246852</v>
      </c>
      <c r="M348" s="14">
        <v>279163</v>
      </c>
      <c r="N348" s="14">
        <v>99763</v>
      </c>
      <c r="O348" s="14">
        <v>135479</v>
      </c>
      <c r="P348" s="14">
        <v>164344</v>
      </c>
      <c r="Q348" s="14">
        <v>-183755</v>
      </c>
      <c r="R348" s="15">
        <v>0.01</v>
      </c>
      <c r="S348" s="11">
        <f t="shared" si="10"/>
        <v>1513622.6300000001</v>
      </c>
      <c r="T348" s="1" t="str">
        <f t="shared" si="11"/>
        <v>NO</v>
      </c>
      <c r="U348" s="15">
        <v>0.75</v>
      </c>
      <c r="V348" s="11">
        <f t="shared" si="14"/>
        <v>1135216.9725000001</v>
      </c>
      <c r="W348" s="1" t="str">
        <f t="shared" si="15"/>
        <v>No</v>
      </c>
      <c r="X348" s="1"/>
      <c r="Y348" s="1"/>
      <c r="Z348" s="1"/>
      <c r="AA348" s="1"/>
    </row>
    <row r="349" spans="1:27" ht="14.4" x14ac:dyDescent="0.3">
      <c r="A349" s="1"/>
      <c r="B349" s="1"/>
      <c r="C349" s="1"/>
      <c r="D349" s="13">
        <v>58512</v>
      </c>
      <c r="E349" s="1" t="s">
        <v>236</v>
      </c>
      <c r="F349" s="14">
        <v>125277</v>
      </c>
      <c r="G349" s="14">
        <v>212084</v>
      </c>
      <c r="H349" s="14">
        <v>289300</v>
      </c>
      <c r="I349" s="14">
        <v>406408</v>
      </c>
      <c r="J349" s="14">
        <v>499116</v>
      </c>
      <c r="K349" s="14">
        <v>553567</v>
      </c>
      <c r="L349" s="14">
        <v>648275</v>
      </c>
      <c r="M349" s="14">
        <v>740983</v>
      </c>
      <c r="N349" s="14">
        <v>772518</v>
      </c>
      <c r="O349" s="14">
        <v>851818</v>
      </c>
      <c r="P349" s="14">
        <v>922018</v>
      </c>
      <c r="Q349" s="14">
        <v>1110263</v>
      </c>
      <c r="R349" s="15">
        <v>0.01</v>
      </c>
      <c r="S349" s="11">
        <f t="shared" si="10"/>
        <v>1513622.6300000001</v>
      </c>
      <c r="T349" s="1" t="str">
        <f t="shared" si="11"/>
        <v>NO</v>
      </c>
      <c r="U349" s="15">
        <v>0.75</v>
      </c>
      <c r="V349" s="11">
        <f t="shared" si="14"/>
        <v>1135216.9725000001</v>
      </c>
      <c r="W349" s="1" t="str">
        <f t="shared" si="15"/>
        <v>No</v>
      </c>
      <c r="X349" s="1"/>
      <c r="Y349" s="1"/>
      <c r="Z349" s="1"/>
      <c r="AA349" s="1"/>
    </row>
    <row r="350" spans="1:27" ht="14.4" x14ac:dyDescent="0.3">
      <c r="A350" s="1"/>
      <c r="B350" s="1"/>
      <c r="C350" s="1"/>
      <c r="D350" s="13">
        <v>58513</v>
      </c>
      <c r="E350" s="1" t="s">
        <v>237</v>
      </c>
      <c r="F350" s="14">
        <v>27608</v>
      </c>
      <c r="G350" s="14">
        <v>55699</v>
      </c>
      <c r="H350" s="14">
        <v>87531</v>
      </c>
      <c r="I350" s="14">
        <v>116372</v>
      </c>
      <c r="J350" s="14">
        <v>145288</v>
      </c>
      <c r="K350" s="14">
        <v>146294</v>
      </c>
      <c r="L350" s="14">
        <v>174824</v>
      </c>
      <c r="M350" s="14">
        <v>203107</v>
      </c>
      <c r="N350" s="14">
        <v>239019</v>
      </c>
      <c r="O350" s="14">
        <v>282279</v>
      </c>
      <c r="P350" s="14">
        <v>318698</v>
      </c>
      <c r="Q350" s="14">
        <v>262254</v>
      </c>
      <c r="R350" s="15">
        <v>0.01</v>
      </c>
      <c r="S350" s="11">
        <f t="shared" si="10"/>
        <v>1513622.6300000001</v>
      </c>
      <c r="T350" s="1" t="str">
        <f t="shared" si="11"/>
        <v>NO</v>
      </c>
      <c r="U350" s="15">
        <v>0.75</v>
      </c>
      <c r="V350" s="11">
        <f t="shared" si="14"/>
        <v>1135216.9725000001</v>
      </c>
      <c r="W350" s="1" t="str">
        <f t="shared" si="15"/>
        <v>No</v>
      </c>
      <c r="X350" s="1"/>
      <c r="Y350" s="1"/>
      <c r="Z350" s="1"/>
      <c r="AA350" s="1"/>
    </row>
    <row r="351" spans="1:27" ht="14.4" x14ac:dyDescent="0.3">
      <c r="A351" s="1"/>
      <c r="B351" s="1"/>
      <c r="C351" s="1"/>
      <c r="D351" s="13">
        <v>58514</v>
      </c>
      <c r="E351" s="1" t="s">
        <v>238</v>
      </c>
      <c r="F351" s="14">
        <v>65668</v>
      </c>
      <c r="G351" s="14">
        <v>115335</v>
      </c>
      <c r="H351" s="14">
        <v>161211</v>
      </c>
      <c r="I351" s="14">
        <v>189716</v>
      </c>
      <c r="J351" s="14">
        <v>234902</v>
      </c>
      <c r="K351" s="14">
        <v>275738</v>
      </c>
      <c r="L351" s="14">
        <v>318663</v>
      </c>
      <c r="M351" s="14">
        <v>361345</v>
      </c>
      <c r="N351" s="14">
        <v>420246</v>
      </c>
      <c r="O351" s="14">
        <v>486689</v>
      </c>
      <c r="P351" s="14">
        <v>546309</v>
      </c>
      <c r="Q351" s="14">
        <v>629792</v>
      </c>
      <c r="R351" s="15">
        <v>0.01</v>
      </c>
      <c r="S351" s="11">
        <f t="shared" si="10"/>
        <v>1513622.6300000001</v>
      </c>
      <c r="T351" s="1" t="str">
        <f t="shared" si="11"/>
        <v>NO</v>
      </c>
      <c r="U351" s="15">
        <v>0.75</v>
      </c>
      <c r="V351" s="11">
        <f t="shared" si="14"/>
        <v>1135216.9725000001</v>
      </c>
      <c r="W351" s="1" t="str">
        <f t="shared" si="15"/>
        <v>No</v>
      </c>
      <c r="X351" s="1"/>
      <c r="Y351" s="1"/>
      <c r="Z351" s="1"/>
      <c r="AA351" s="1"/>
    </row>
    <row r="352" spans="1:27" ht="14.4" x14ac:dyDescent="0.3">
      <c r="A352" s="1"/>
      <c r="B352" s="1"/>
      <c r="C352" s="1"/>
      <c r="D352" s="13">
        <v>58516</v>
      </c>
      <c r="E352" s="1" t="s">
        <v>239</v>
      </c>
      <c r="F352" s="14">
        <v>9231</v>
      </c>
      <c r="G352" s="14">
        <v>18321</v>
      </c>
      <c r="H352" s="14">
        <v>28536</v>
      </c>
      <c r="I352" s="14">
        <v>38004</v>
      </c>
      <c r="J352" s="14">
        <v>47455</v>
      </c>
      <c r="K352" s="14">
        <v>57108</v>
      </c>
      <c r="L352" s="14">
        <v>66363</v>
      </c>
      <c r="M352" s="14">
        <v>76341</v>
      </c>
      <c r="N352" s="14">
        <v>86434</v>
      </c>
      <c r="O352" s="14">
        <v>97696</v>
      </c>
      <c r="P352" s="14">
        <v>109543</v>
      </c>
      <c r="Q352" s="14">
        <v>155762</v>
      </c>
      <c r="R352" s="15">
        <v>0.01</v>
      </c>
      <c r="S352" s="11">
        <f t="shared" si="10"/>
        <v>1513622.6300000001</v>
      </c>
      <c r="T352" s="1" t="str">
        <f t="shared" si="11"/>
        <v>NO</v>
      </c>
      <c r="U352" s="15">
        <v>0.75</v>
      </c>
      <c r="V352" s="11">
        <f t="shared" si="14"/>
        <v>1135216.9725000001</v>
      </c>
      <c r="W352" s="1" t="str">
        <f t="shared" si="15"/>
        <v>No</v>
      </c>
      <c r="X352" s="1"/>
      <c r="Y352" s="1"/>
      <c r="Z352" s="1"/>
      <c r="AA352" s="1"/>
    </row>
    <row r="353" spans="1:27" ht="14.4" x14ac:dyDescent="0.3">
      <c r="A353" s="1"/>
      <c r="B353" s="1"/>
      <c r="C353" s="1"/>
      <c r="D353" s="13">
        <v>58517</v>
      </c>
      <c r="E353" s="1" t="s">
        <v>288</v>
      </c>
      <c r="F353" s="13">
        <v>114</v>
      </c>
      <c r="G353" s="13">
        <v>159</v>
      </c>
      <c r="H353" s="13">
        <v>204</v>
      </c>
      <c r="I353" s="13">
        <v>249</v>
      </c>
      <c r="J353" s="13">
        <v>294</v>
      </c>
      <c r="K353" s="13">
        <v>339</v>
      </c>
      <c r="L353" s="13">
        <v>388</v>
      </c>
      <c r="M353" s="13">
        <v>438</v>
      </c>
      <c r="N353" s="13">
        <v>487</v>
      </c>
      <c r="O353" s="13">
        <v>536</v>
      </c>
      <c r="P353" s="13">
        <v>585</v>
      </c>
      <c r="Q353" s="13">
        <v>635</v>
      </c>
      <c r="R353" s="15">
        <v>0.01</v>
      </c>
      <c r="S353" s="11">
        <f t="shared" si="10"/>
        <v>1513622.6300000001</v>
      </c>
      <c r="T353" s="1" t="str">
        <f t="shared" si="11"/>
        <v>NO</v>
      </c>
      <c r="U353" s="15">
        <v>0.75</v>
      </c>
      <c r="V353" s="11">
        <f t="shared" si="14"/>
        <v>1135216.9725000001</v>
      </c>
      <c r="W353" s="1" t="str">
        <f t="shared" si="15"/>
        <v>No</v>
      </c>
      <c r="X353" s="1"/>
      <c r="Y353" s="1"/>
      <c r="Z353" s="1"/>
      <c r="AA353" s="1"/>
    </row>
    <row r="354" spans="1:27" ht="14.4" x14ac:dyDescent="0.3">
      <c r="A354" s="1"/>
      <c r="B354" s="1"/>
      <c r="C354" s="1"/>
      <c r="D354" s="13">
        <v>58519</v>
      </c>
      <c r="E354" s="1" t="s">
        <v>289</v>
      </c>
      <c r="F354" s="13">
        <v>584</v>
      </c>
      <c r="G354" s="14">
        <v>1167</v>
      </c>
      <c r="H354" s="14">
        <v>1393</v>
      </c>
      <c r="I354" s="14">
        <v>1619</v>
      </c>
      <c r="J354" s="14">
        <v>1846</v>
      </c>
      <c r="K354" s="14">
        <v>2072</v>
      </c>
      <c r="L354" s="14">
        <v>2298</v>
      </c>
      <c r="M354" s="14">
        <v>2524</v>
      </c>
      <c r="N354" s="14">
        <v>2750</v>
      </c>
      <c r="O354" s="14">
        <v>2976</v>
      </c>
      <c r="P354" s="14">
        <v>3202</v>
      </c>
      <c r="Q354" s="14">
        <v>3428</v>
      </c>
      <c r="R354" s="15">
        <v>0.01</v>
      </c>
      <c r="S354" s="11">
        <f t="shared" si="10"/>
        <v>1513622.6300000001</v>
      </c>
      <c r="T354" s="1" t="str">
        <f t="shared" si="11"/>
        <v>NO</v>
      </c>
      <c r="U354" s="15">
        <v>0.75</v>
      </c>
      <c r="V354" s="11">
        <f t="shared" si="14"/>
        <v>1135216.9725000001</v>
      </c>
      <c r="W354" s="1" t="str">
        <f t="shared" si="15"/>
        <v>No</v>
      </c>
      <c r="X354" s="1"/>
      <c r="Y354" s="1"/>
      <c r="Z354" s="1"/>
      <c r="AA354" s="1"/>
    </row>
    <row r="355" spans="1:27" ht="14.4" x14ac:dyDescent="0.3">
      <c r="A355" s="1"/>
      <c r="B355" s="1"/>
      <c r="C355" s="1"/>
      <c r="D355" s="13">
        <v>59050</v>
      </c>
      <c r="E355" s="1" t="s">
        <v>290</v>
      </c>
      <c r="F355" s="14">
        <v>31462</v>
      </c>
      <c r="G355" s="14">
        <v>66668</v>
      </c>
      <c r="H355" s="14">
        <v>103086</v>
      </c>
      <c r="I355" s="14">
        <v>144483</v>
      </c>
      <c r="J355" s="14">
        <v>178504</v>
      </c>
      <c r="K355" s="14">
        <v>210161</v>
      </c>
      <c r="L355" s="14">
        <v>242633</v>
      </c>
      <c r="M355" s="14">
        <v>273170</v>
      </c>
      <c r="N355" s="14">
        <v>307538</v>
      </c>
      <c r="O355" s="14">
        <v>354512</v>
      </c>
      <c r="P355" s="14">
        <v>389008</v>
      </c>
      <c r="Q355" s="14">
        <v>423021</v>
      </c>
      <c r="R355" s="15">
        <v>0.01</v>
      </c>
      <c r="S355" s="11">
        <f t="shared" si="10"/>
        <v>1513622.6300000001</v>
      </c>
      <c r="T355" s="1" t="str">
        <f t="shared" si="11"/>
        <v>NO</v>
      </c>
      <c r="U355" s="15">
        <v>0.75</v>
      </c>
      <c r="V355" s="11">
        <f t="shared" si="14"/>
        <v>1135216.9725000001</v>
      </c>
      <c r="W355" s="1" t="str">
        <f t="shared" si="15"/>
        <v>No</v>
      </c>
      <c r="X355" s="1"/>
      <c r="Y355" s="1"/>
      <c r="Z355" s="1"/>
      <c r="AA355" s="1"/>
    </row>
    <row r="356" spans="1:27" ht="14.4" x14ac:dyDescent="0.3">
      <c r="A356" s="1"/>
      <c r="B356" s="1"/>
      <c r="C356" s="1"/>
      <c r="D356" s="13">
        <v>59100</v>
      </c>
      <c r="E356" s="1" t="s">
        <v>291</v>
      </c>
      <c r="F356" s="14">
        <v>5277</v>
      </c>
      <c r="G356" s="14">
        <v>28103</v>
      </c>
      <c r="H356" s="14">
        <v>30786</v>
      </c>
      <c r="I356" s="14">
        <v>31324</v>
      </c>
      <c r="J356" s="14">
        <v>38188</v>
      </c>
      <c r="K356" s="14">
        <v>38665</v>
      </c>
      <c r="L356" s="14">
        <v>39991</v>
      </c>
      <c r="M356" s="14">
        <v>68705</v>
      </c>
      <c r="N356" s="14">
        <v>74971</v>
      </c>
      <c r="O356" s="14">
        <v>83525</v>
      </c>
      <c r="P356" s="14">
        <v>85396</v>
      </c>
      <c r="Q356" s="14">
        <v>99880</v>
      </c>
      <c r="R356" s="15">
        <v>0.01</v>
      </c>
      <c r="S356" s="11">
        <f t="shared" si="10"/>
        <v>1513622.6300000001</v>
      </c>
      <c r="T356" s="1" t="str">
        <f t="shared" si="11"/>
        <v>NO</v>
      </c>
      <c r="U356" s="15">
        <v>0.75</v>
      </c>
      <c r="V356" s="11">
        <f t="shared" si="14"/>
        <v>1135216.9725000001</v>
      </c>
      <c r="W356" s="1" t="str">
        <f t="shared" si="15"/>
        <v>No</v>
      </c>
      <c r="X356" s="1"/>
      <c r="Y356" s="1"/>
      <c r="Z356" s="1"/>
      <c r="AA356" s="1"/>
    </row>
    <row r="357" spans="1:27" ht="14.4" x14ac:dyDescent="0.3">
      <c r="A357" s="1"/>
      <c r="B357" s="1"/>
      <c r="C357" s="1"/>
      <c r="D357" s="13">
        <v>59110</v>
      </c>
      <c r="E357" s="1" t="s">
        <v>292</v>
      </c>
      <c r="F357" s="14">
        <v>136994</v>
      </c>
      <c r="G357" s="14">
        <v>240242</v>
      </c>
      <c r="H357" s="14">
        <v>361672</v>
      </c>
      <c r="I357" s="14">
        <v>483112</v>
      </c>
      <c r="J357" s="14">
        <v>604542</v>
      </c>
      <c r="K357" s="14">
        <v>762887</v>
      </c>
      <c r="L357" s="14">
        <v>911416</v>
      </c>
      <c r="M357" s="14">
        <v>1054295</v>
      </c>
      <c r="N357" s="14">
        <v>1391617</v>
      </c>
      <c r="O357" s="14">
        <v>1741429</v>
      </c>
      <c r="P357" s="14">
        <v>2088717</v>
      </c>
      <c r="Q357" s="14">
        <v>3291961</v>
      </c>
      <c r="R357" s="15">
        <v>0.01</v>
      </c>
      <c r="S357" s="11">
        <f t="shared" si="10"/>
        <v>1513622.6300000001</v>
      </c>
      <c r="T357" s="1" t="str">
        <f t="shared" si="11"/>
        <v>YES</v>
      </c>
      <c r="U357" s="15">
        <v>0.75</v>
      </c>
      <c r="V357" s="11">
        <f t="shared" si="14"/>
        <v>1135216.9725000001</v>
      </c>
      <c r="W357" s="1" t="str">
        <f t="shared" si="15"/>
        <v>Yes</v>
      </c>
      <c r="X357" s="1"/>
      <c r="Y357" s="1"/>
      <c r="Z357" s="1"/>
      <c r="AA357" s="1"/>
    </row>
    <row r="358" spans="1:27" ht="14.4" x14ac:dyDescent="0.3">
      <c r="A358" s="1"/>
      <c r="B358" s="1"/>
      <c r="C358" s="1"/>
      <c r="D358" s="13">
        <v>59120</v>
      </c>
      <c r="E358" s="1" t="s">
        <v>293</v>
      </c>
      <c r="F358" s="1"/>
      <c r="G358" s="14">
        <v>6465</v>
      </c>
      <c r="H358" s="14">
        <v>7442</v>
      </c>
      <c r="I358" s="14">
        <v>7677</v>
      </c>
      <c r="J358" s="14">
        <v>7677</v>
      </c>
      <c r="K358" s="14">
        <v>7677</v>
      </c>
      <c r="L358" s="14">
        <v>7677</v>
      </c>
      <c r="M358" s="14">
        <v>11269</v>
      </c>
      <c r="N358" s="14">
        <v>11269</v>
      </c>
      <c r="O358" s="14">
        <v>11269</v>
      </c>
      <c r="P358" s="14">
        <v>14539</v>
      </c>
      <c r="Q358" s="14">
        <v>14539</v>
      </c>
      <c r="R358" s="15">
        <v>0.01</v>
      </c>
      <c r="S358" s="11">
        <f t="shared" si="10"/>
        <v>1513622.6300000001</v>
      </c>
      <c r="T358" s="1" t="str">
        <f t="shared" si="11"/>
        <v>NO</v>
      </c>
      <c r="U358" s="15">
        <v>0.75</v>
      </c>
      <c r="V358" s="11">
        <f t="shared" si="14"/>
        <v>1135216.9725000001</v>
      </c>
      <c r="W358" s="1" t="str">
        <f t="shared" si="15"/>
        <v>No</v>
      </c>
      <c r="X358" s="1"/>
      <c r="Y358" s="1"/>
      <c r="Z358" s="1"/>
      <c r="AA358" s="1"/>
    </row>
    <row r="359" spans="1:27" ht="14.4" x14ac:dyDescent="0.3">
      <c r="A359" s="1"/>
      <c r="B359" s="1"/>
      <c r="C359" s="1"/>
      <c r="D359" s="13">
        <v>59130</v>
      </c>
      <c r="E359" s="1" t="s">
        <v>294</v>
      </c>
      <c r="F359" s="14">
        <v>9765</v>
      </c>
      <c r="G359" s="14">
        <v>9766</v>
      </c>
      <c r="H359" s="14">
        <v>16822</v>
      </c>
      <c r="I359" s="14">
        <v>18601</v>
      </c>
      <c r="J359" s="14">
        <v>28281</v>
      </c>
      <c r="K359" s="14">
        <v>31969</v>
      </c>
      <c r="L359" s="14">
        <v>38684</v>
      </c>
      <c r="M359" s="14">
        <v>40910</v>
      </c>
      <c r="N359" s="14">
        <v>41770</v>
      </c>
      <c r="O359" s="14">
        <v>42454</v>
      </c>
      <c r="P359" s="14">
        <v>48150</v>
      </c>
      <c r="Q359" s="14">
        <v>63821</v>
      </c>
      <c r="R359" s="15">
        <v>0.01</v>
      </c>
      <c r="S359" s="11">
        <f t="shared" si="10"/>
        <v>1513622.6300000001</v>
      </c>
      <c r="T359" s="1" t="str">
        <f t="shared" si="11"/>
        <v>NO</v>
      </c>
      <c r="U359" s="15">
        <v>0.75</v>
      </c>
      <c r="V359" s="11">
        <f t="shared" si="14"/>
        <v>1135216.9725000001</v>
      </c>
      <c r="W359" s="1" t="str">
        <f t="shared" si="15"/>
        <v>No</v>
      </c>
      <c r="X359" s="1"/>
      <c r="Y359" s="1"/>
      <c r="Z359" s="1"/>
      <c r="AA359" s="1"/>
    </row>
    <row r="360" spans="1:27" ht="14.4" x14ac:dyDescent="0.3">
      <c r="A360" s="1"/>
      <c r="B360" s="1"/>
      <c r="C360" s="1"/>
      <c r="D360" s="13">
        <v>59140</v>
      </c>
      <c r="E360" s="1" t="s">
        <v>295</v>
      </c>
      <c r="F360" s="14">
        <v>22470</v>
      </c>
      <c r="G360" s="14">
        <v>48708</v>
      </c>
      <c r="H360" s="14">
        <v>49953</v>
      </c>
      <c r="I360" s="14">
        <v>68395</v>
      </c>
      <c r="J360" s="14">
        <v>88701</v>
      </c>
      <c r="K360" s="14">
        <v>108916</v>
      </c>
      <c r="L360" s="14">
        <v>125535</v>
      </c>
      <c r="M360" s="14">
        <v>147730</v>
      </c>
      <c r="N360" s="14">
        <v>171893</v>
      </c>
      <c r="O360" s="14">
        <v>195566</v>
      </c>
      <c r="P360" s="14">
        <v>214545</v>
      </c>
      <c r="Q360" s="14">
        <v>260971</v>
      </c>
      <c r="R360" s="15">
        <v>0.01</v>
      </c>
      <c r="S360" s="11">
        <f t="shared" si="10"/>
        <v>1513622.6300000001</v>
      </c>
      <c r="T360" s="1" t="str">
        <f t="shared" si="11"/>
        <v>NO</v>
      </c>
      <c r="U360" s="15">
        <v>0.75</v>
      </c>
      <c r="V360" s="11">
        <f t="shared" si="14"/>
        <v>1135216.9725000001</v>
      </c>
      <c r="W360" s="1" t="str">
        <f t="shared" si="15"/>
        <v>No</v>
      </c>
      <c r="X360" s="1"/>
      <c r="Y360" s="1"/>
      <c r="Z360" s="1"/>
      <c r="AA360" s="1"/>
    </row>
    <row r="361" spans="1:27" ht="14.4" x14ac:dyDescent="0.3">
      <c r="A361" s="1"/>
      <c r="B361" s="1"/>
      <c r="C361" s="1"/>
      <c r="D361" s="13">
        <v>59200</v>
      </c>
      <c r="E361" s="1" t="s">
        <v>296</v>
      </c>
      <c r="F361" s="14">
        <v>32265</v>
      </c>
      <c r="G361" s="14">
        <v>59965</v>
      </c>
      <c r="H361" s="14">
        <v>97445</v>
      </c>
      <c r="I361" s="14">
        <v>120897</v>
      </c>
      <c r="J361" s="14">
        <v>150571</v>
      </c>
      <c r="K361" s="14">
        <v>165182</v>
      </c>
      <c r="L361" s="14">
        <v>201870</v>
      </c>
      <c r="M361" s="14">
        <v>220174</v>
      </c>
      <c r="N361" s="14">
        <v>237102</v>
      </c>
      <c r="O361" s="14">
        <v>294766</v>
      </c>
      <c r="P361" s="14">
        <v>358872</v>
      </c>
      <c r="Q361" s="14">
        <v>439454</v>
      </c>
      <c r="R361" s="15">
        <v>0.01</v>
      </c>
      <c r="S361" s="11">
        <f t="shared" si="10"/>
        <v>1513622.6300000001</v>
      </c>
      <c r="T361" s="1" t="str">
        <f t="shared" si="11"/>
        <v>NO</v>
      </c>
      <c r="U361" s="15">
        <v>0.75</v>
      </c>
      <c r="V361" s="11">
        <f t="shared" si="14"/>
        <v>1135216.9725000001</v>
      </c>
      <c r="W361" s="1" t="str">
        <f t="shared" si="15"/>
        <v>No</v>
      </c>
      <c r="X361" s="1"/>
      <c r="Y361" s="1"/>
      <c r="Z361" s="1"/>
      <c r="AA361" s="1"/>
    </row>
    <row r="362" spans="1:27" ht="14.4" x14ac:dyDescent="0.3">
      <c r="A362" s="1"/>
      <c r="B362" s="1"/>
      <c r="C362" s="1"/>
      <c r="D362" s="13">
        <v>59210</v>
      </c>
      <c r="E362" s="1" t="s">
        <v>297</v>
      </c>
      <c r="F362" s="14">
        <v>7040</v>
      </c>
      <c r="G362" s="14">
        <v>19743</v>
      </c>
      <c r="H362" s="14">
        <v>41698</v>
      </c>
      <c r="I362" s="14">
        <v>51541</v>
      </c>
      <c r="J362" s="14">
        <v>62040</v>
      </c>
      <c r="K362" s="14">
        <v>73725</v>
      </c>
      <c r="L362" s="14">
        <v>82311</v>
      </c>
      <c r="M362" s="14">
        <v>97610</v>
      </c>
      <c r="N362" s="14">
        <v>115781</v>
      </c>
      <c r="O362" s="14">
        <v>144682</v>
      </c>
      <c r="P362" s="14">
        <v>168705</v>
      </c>
      <c r="Q362" s="14">
        <v>187622</v>
      </c>
      <c r="R362" s="15">
        <v>0.01</v>
      </c>
      <c r="S362" s="11">
        <f t="shared" si="10"/>
        <v>1513622.6300000001</v>
      </c>
      <c r="T362" s="1" t="str">
        <f t="shared" si="11"/>
        <v>NO</v>
      </c>
      <c r="U362" s="15">
        <v>0.75</v>
      </c>
      <c r="V362" s="11">
        <f t="shared" si="14"/>
        <v>1135216.9725000001</v>
      </c>
      <c r="W362" s="1" t="str">
        <f t="shared" si="15"/>
        <v>No</v>
      </c>
      <c r="X362" s="1"/>
      <c r="Y362" s="1"/>
      <c r="Z362" s="1"/>
      <c r="AA362" s="1"/>
    </row>
    <row r="363" spans="1:27" ht="14.4" x14ac:dyDescent="0.3">
      <c r="A363" s="1"/>
      <c r="B363" s="1"/>
      <c r="C363" s="1"/>
      <c r="D363" s="13">
        <v>59300</v>
      </c>
      <c r="E363" s="1" t="s">
        <v>298</v>
      </c>
      <c r="F363" s="14">
        <v>1798787</v>
      </c>
      <c r="G363" s="14">
        <v>3681967</v>
      </c>
      <c r="H363" s="14">
        <v>5451502</v>
      </c>
      <c r="I363" s="14">
        <v>7208054</v>
      </c>
      <c r="J363" s="14">
        <v>9009232</v>
      </c>
      <c r="K363" s="14">
        <v>10775123</v>
      </c>
      <c r="L363" s="14">
        <v>12796637</v>
      </c>
      <c r="M363" s="14">
        <v>14833326</v>
      </c>
      <c r="N363" s="14">
        <v>17884860</v>
      </c>
      <c r="O363" s="14">
        <v>21454215</v>
      </c>
      <c r="P363" s="14">
        <v>25100549</v>
      </c>
      <c r="Q363" s="14">
        <v>26134708</v>
      </c>
      <c r="R363" s="15">
        <v>0.01</v>
      </c>
      <c r="S363" s="11">
        <f t="shared" si="10"/>
        <v>1513622.6300000001</v>
      </c>
      <c r="T363" s="1" t="str">
        <f t="shared" si="11"/>
        <v>YES</v>
      </c>
      <c r="U363" s="15">
        <v>0.75</v>
      </c>
      <c r="V363" s="11">
        <f t="shared" si="14"/>
        <v>1135216.9725000001</v>
      </c>
      <c r="W363" s="1" t="str">
        <f t="shared" si="15"/>
        <v>Yes</v>
      </c>
      <c r="X363" s="1"/>
      <c r="Y363" s="1"/>
      <c r="Z363" s="1"/>
      <c r="AA363" s="1"/>
    </row>
    <row r="364" spans="1:27" ht="14.4" x14ac:dyDescent="0.3">
      <c r="A364" s="1"/>
      <c r="B364" s="1"/>
      <c r="C364" s="1"/>
      <c r="D364" s="13">
        <v>59310</v>
      </c>
      <c r="E364" s="1" t="s">
        <v>299</v>
      </c>
      <c r="F364" s="14">
        <v>-93755</v>
      </c>
      <c r="G364" s="14">
        <v>-121970</v>
      </c>
      <c r="H364" s="14">
        <v>-146615</v>
      </c>
      <c r="I364" s="14">
        <v>-373585</v>
      </c>
      <c r="J364" s="14">
        <v>-459735</v>
      </c>
      <c r="K364" s="14">
        <v>-614847</v>
      </c>
      <c r="L364" s="14">
        <v>-651910</v>
      </c>
      <c r="M364" s="14">
        <v>-748630</v>
      </c>
      <c r="N364" s="14">
        <v>-897015</v>
      </c>
      <c r="O364" s="14">
        <v>-999150</v>
      </c>
      <c r="P364" s="14">
        <v>-1095550</v>
      </c>
      <c r="Q364" s="14">
        <v>-1346705</v>
      </c>
      <c r="R364" s="15">
        <v>0.01</v>
      </c>
      <c r="S364" s="11">
        <f t="shared" si="10"/>
        <v>1513622.6300000001</v>
      </c>
      <c r="T364" s="1" t="str">
        <f t="shared" si="11"/>
        <v>NO</v>
      </c>
      <c r="U364" s="15">
        <v>0.75</v>
      </c>
      <c r="V364" s="11">
        <f t="shared" si="14"/>
        <v>1135216.9725000001</v>
      </c>
      <c r="W364" s="1" t="str">
        <f t="shared" si="15"/>
        <v>Yes</v>
      </c>
      <c r="X364" s="1"/>
      <c r="Y364" s="1"/>
      <c r="Z364" s="1"/>
      <c r="AA364" s="1"/>
    </row>
    <row r="365" spans="1:27" ht="14.4" x14ac:dyDescent="0.3">
      <c r="A365" s="1"/>
      <c r="B365" s="1"/>
      <c r="C365" s="1"/>
      <c r="D365" s="13">
        <v>59320</v>
      </c>
      <c r="E365" s="1" t="s">
        <v>300</v>
      </c>
      <c r="F365" s="14">
        <v>35539</v>
      </c>
      <c r="G365" s="14">
        <v>52998</v>
      </c>
      <c r="H365" s="14">
        <v>67799</v>
      </c>
      <c r="I365" s="14">
        <v>135541</v>
      </c>
      <c r="J365" s="14">
        <v>155338</v>
      </c>
      <c r="K365" s="14">
        <v>184194</v>
      </c>
      <c r="L365" s="14">
        <v>197500</v>
      </c>
      <c r="M365" s="14">
        <v>216906</v>
      </c>
      <c r="N365" s="14">
        <v>232817</v>
      </c>
      <c r="O365" s="14">
        <v>264841</v>
      </c>
      <c r="P365" s="14">
        <v>306316</v>
      </c>
      <c r="Q365" s="14">
        <v>320303</v>
      </c>
      <c r="R365" s="15">
        <v>0.01</v>
      </c>
      <c r="S365" s="11">
        <f t="shared" si="10"/>
        <v>1513622.6300000001</v>
      </c>
      <c r="T365" s="1" t="str">
        <f t="shared" si="11"/>
        <v>NO</v>
      </c>
      <c r="U365" s="15">
        <v>0.75</v>
      </c>
      <c r="V365" s="11">
        <f t="shared" si="14"/>
        <v>1135216.9725000001</v>
      </c>
      <c r="W365" s="1" t="str">
        <f t="shared" si="15"/>
        <v>No</v>
      </c>
      <c r="X365" s="1"/>
      <c r="Y365" s="1"/>
      <c r="Z365" s="1"/>
      <c r="AA365" s="1"/>
    </row>
    <row r="366" spans="1:27" ht="14.4" x14ac:dyDescent="0.3">
      <c r="A366" s="1"/>
      <c r="B366" s="1"/>
      <c r="C366" s="1"/>
      <c r="D366" s="13">
        <v>59340</v>
      </c>
      <c r="E366" s="1" t="s">
        <v>301</v>
      </c>
      <c r="F366" s="14">
        <v>18462</v>
      </c>
      <c r="G366" s="14">
        <v>21291</v>
      </c>
      <c r="H366" s="14">
        <v>24992</v>
      </c>
      <c r="I366" s="14">
        <v>30521</v>
      </c>
      <c r="J366" s="14">
        <v>160866</v>
      </c>
      <c r="K366" s="14">
        <v>256278</v>
      </c>
      <c r="L366" s="14">
        <v>523804</v>
      </c>
      <c r="M366" s="14">
        <v>564443</v>
      </c>
      <c r="N366" s="14">
        <v>569115</v>
      </c>
      <c r="O366" s="14">
        <v>578432</v>
      </c>
      <c r="P366" s="14">
        <v>598202</v>
      </c>
      <c r="Q366" s="14">
        <v>695022</v>
      </c>
      <c r="R366" s="15">
        <v>0.01</v>
      </c>
      <c r="S366" s="11">
        <f t="shared" si="10"/>
        <v>1513622.6300000001</v>
      </c>
      <c r="T366" s="1" t="str">
        <f t="shared" si="11"/>
        <v>NO</v>
      </c>
      <c r="U366" s="15">
        <v>0.75</v>
      </c>
      <c r="V366" s="11">
        <f t="shared" si="14"/>
        <v>1135216.9725000001</v>
      </c>
      <c r="W366" s="1" t="str">
        <f t="shared" si="15"/>
        <v>No</v>
      </c>
      <c r="X366" s="1"/>
      <c r="Y366" s="1"/>
      <c r="Z366" s="1"/>
      <c r="AA366" s="1"/>
    </row>
    <row r="367" spans="1:27" ht="14.4" x14ac:dyDescent="0.3">
      <c r="A367" s="1"/>
      <c r="B367" s="1"/>
      <c r="C367" s="1"/>
      <c r="D367" s="13">
        <v>59400</v>
      </c>
      <c r="E367" s="1" t="s">
        <v>302</v>
      </c>
      <c r="F367" s="14">
        <v>196206</v>
      </c>
      <c r="G367" s="14">
        <v>425276</v>
      </c>
      <c r="H367" s="14">
        <v>676808</v>
      </c>
      <c r="I367" s="14">
        <v>936008</v>
      </c>
      <c r="J367" s="14">
        <v>1305458</v>
      </c>
      <c r="K367" s="14">
        <v>1623300</v>
      </c>
      <c r="L367" s="14">
        <v>2133447</v>
      </c>
      <c r="M367" s="14">
        <v>2721091</v>
      </c>
      <c r="N367" s="14">
        <v>3087890</v>
      </c>
      <c r="O367" s="14">
        <v>3639540</v>
      </c>
      <c r="P367" s="14">
        <v>4134188</v>
      </c>
      <c r="Q367" s="14">
        <v>4805158</v>
      </c>
      <c r="R367" s="15">
        <v>0.01</v>
      </c>
      <c r="S367" s="11">
        <f t="shared" si="10"/>
        <v>1513622.6300000001</v>
      </c>
      <c r="T367" s="1" t="str">
        <f t="shared" si="11"/>
        <v>YES</v>
      </c>
      <c r="U367" s="15">
        <v>0.75</v>
      </c>
      <c r="V367" s="11">
        <f t="shared" si="14"/>
        <v>1135216.9725000001</v>
      </c>
      <c r="W367" s="1" t="str">
        <f t="shared" si="15"/>
        <v>Yes</v>
      </c>
      <c r="X367" s="1"/>
      <c r="Y367" s="1"/>
      <c r="Z367" s="1"/>
      <c r="AA367" s="1"/>
    </row>
    <row r="368" spans="1:27" ht="14.4" x14ac:dyDescent="0.3">
      <c r="A368" s="1"/>
      <c r="B368" s="1"/>
      <c r="C368" s="1"/>
      <c r="D368" s="13">
        <v>59510</v>
      </c>
      <c r="E368" s="1" t="s">
        <v>303</v>
      </c>
      <c r="F368" s="14">
        <v>43979</v>
      </c>
      <c r="G368" s="14">
        <v>86996</v>
      </c>
      <c r="H368" s="14">
        <v>147357</v>
      </c>
      <c r="I368" s="14">
        <v>240142</v>
      </c>
      <c r="J368" s="14">
        <v>338847</v>
      </c>
      <c r="K368" s="14">
        <v>430189</v>
      </c>
      <c r="L368" s="14">
        <v>524866</v>
      </c>
      <c r="M368" s="14">
        <v>616393</v>
      </c>
      <c r="N368" s="14">
        <v>715674</v>
      </c>
      <c r="O368" s="14">
        <v>821813</v>
      </c>
      <c r="P368" s="14">
        <v>910514</v>
      </c>
      <c r="Q368" s="14">
        <v>1659220</v>
      </c>
      <c r="R368" s="15">
        <v>0.01</v>
      </c>
      <c r="S368" s="11">
        <f t="shared" si="10"/>
        <v>1513622.6300000001</v>
      </c>
      <c r="T368" s="1" t="str">
        <f t="shared" si="11"/>
        <v>YES</v>
      </c>
      <c r="U368" s="15">
        <v>0.75</v>
      </c>
      <c r="V368" s="11">
        <f t="shared" si="14"/>
        <v>1135216.9725000001</v>
      </c>
      <c r="W368" s="1" t="str">
        <f t="shared" si="15"/>
        <v>Yes</v>
      </c>
      <c r="X368" s="1"/>
      <c r="Y368" s="1"/>
      <c r="Z368" s="1"/>
      <c r="AA368" s="1"/>
    </row>
    <row r="369" spans="1:27" ht="14.4" x14ac:dyDescent="0.3">
      <c r="A369" s="1"/>
      <c r="B369" s="1"/>
      <c r="C369" s="1"/>
      <c r="D369" s="13">
        <v>59515</v>
      </c>
      <c r="E369" s="1" t="s">
        <v>255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4">
        <v>73281</v>
      </c>
      <c r="R369" s="15">
        <v>0.01</v>
      </c>
      <c r="S369" s="11">
        <f t="shared" si="10"/>
        <v>1513622.6300000001</v>
      </c>
      <c r="T369" s="1" t="str">
        <f t="shared" si="11"/>
        <v>NO</v>
      </c>
      <c r="U369" s="15">
        <v>0.75</v>
      </c>
      <c r="V369" s="11">
        <f t="shared" si="14"/>
        <v>1135216.9725000001</v>
      </c>
      <c r="W369" s="1" t="str">
        <f t="shared" si="15"/>
        <v>No</v>
      </c>
      <c r="X369" s="1"/>
      <c r="Y369" s="1"/>
      <c r="Z369" s="1"/>
      <c r="AA369" s="1"/>
    </row>
    <row r="370" spans="1:27" ht="14.4" x14ac:dyDescent="0.3">
      <c r="A370" s="1"/>
      <c r="B370" s="1"/>
      <c r="C370" s="1"/>
      <c r="D370" s="13">
        <v>59530</v>
      </c>
      <c r="E370" s="1" t="s">
        <v>304</v>
      </c>
      <c r="F370" s="14">
        <v>118615</v>
      </c>
      <c r="G370" s="14">
        <v>237224</v>
      </c>
      <c r="H370" s="14">
        <v>370336</v>
      </c>
      <c r="I370" s="14">
        <v>489859</v>
      </c>
      <c r="J370" s="14">
        <v>605951</v>
      </c>
      <c r="K370" s="14">
        <v>722054</v>
      </c>
      <c r="L370" s="14">
        <v>838311</v>
      </c>
      <c r="M370" s="14">
        <v>954507</v>
      </c>
      <c r="N370" s="14">
        <v>1092571</v>
      </c>
      <c r="O370" s="14">
        <v>1230916</v>
      </c>
      <c r="P370" s="14">
        <v>1384729</v>
      </c>
      <c r="Q370" s="14">
        <v>1454526</v>
      </c>
      <c r="R370" s="15">
        <v>0.01</v>
      </c>
      <c r="S370" s="11">
        <f t="shared" si="10"/>
        <v>1513622.6300000001</v>
      </c>
      <c r="T370" s="1" t="str">
        <f t="shared" si="11"/>
        <v>NO</v>
      </c>
      <c r="U370" s="15">
        <v>0.75</v>
      </c>
      <c r="V370" s="11">
        <f t="shared" si="14"/>
        <v>1135216.9725000001</v>
      </c>
      <c r="W370" s="1" t="str">
        <f t="shared" si="15"/>
        <v>Yes</v>
      </c>
      <c r="X370" s="1"/>
      <c r="Y370" s="1"/>
      <c r="Z370" s="1"/>
      <c r="AA370" s="1"/>
    </row>
    <row r="371" spans="1:27" ht="14.4" x14ac:dyDescent="0.3">
      <c r="A371" s="1"/>
      <c r="B371" s="1"/>
      <c r="C371" s="1"/>
      <c r="D371" s="13">
        <v>59535</v>
      </c>
      <c r="E371" s="1" t="s">
        <v>305</v>
      </c>
      <c r="F371" s="14">
        <v>83497</v>
      </c>
      <c r="G371" s="14">
        <v>172011</v>
      </c>
      <c r="H371" s="14">
        <v>254948</v>
      </c>
      <c r="I371" s="14">
        <v>344384</v>
      </c>
      <c r="J371" s="14">
        <v>442109</v>
      </c>
      <c r="K371" s="14">
        <v>521664</v>
      </c>
      <c r="L371" s="14">
        <v>599600</v>
      </c>
      <c r="M371" s="14">
        <v>698470</v>
      </c>
      <c r="N371" s="14">
        <v>784516</v>
      </c>
      <c r="O371" s="14">
        <v>877883</v>
      </c>
      <c r="P371" s="14">
        <v>951279</v>
      </c>
      <c r="Q371" s="14">
        <v>1403641</v>
      </c>
      <c r="R371" s="15">
        <v>0.01</v>
      </c>
      <c r="S371" s="11">
        <f t="shared" si="10"/>
        <v>1513622.6300000001</v>
      </c>
      <c r="T371" s="1" t="str">
        <f t="shared" si="11"/>
        <v>NO</v>
      </c>
      <c r="U371" s="15">
        <v>0.75</v>
      </c>
      <c r="V371" s="11">
        <f t="shared" si="14"/>
        <v>1135216.9725000001</v>
      </c>
      <c r="W371" s="1" t="str">
        <f t="shared" si="15"/>
        <v>Yes</v>
      </c>
      <c r="X371" s="1"/>
      <c r="Y371" s="1"/>
      <c r="Z371" s="1"/>
      <c r="AA371" s="1"/>
    </row>
    <row r="372" spans="1:27" ht="14.4" x14ac:dyDescent="0.3">
      <c r="A372" s="1"/>
      <c r="B372" s="1"/>
      <c r="C372" s="1"/>
      <c r="D372" s="13">
        <v>59540</v>
      </c>
      <c r="E372" s="1" t="s">
        <v>306</v>
      </c>
      <c r="F372" s="14">
        <v>139851</v>
      </c>
      <c r="G372" s="14">
        <v>279685</v>
      </c>
      <c r="H372" s="14">
        <v>419508</v>
      </c>
      <c r="I372" s="14">
        <v>559337</v>
      </c>
      <c r="J372" s="14">
        <v>698979</v>
      </c>
      <c r="K372" s="14">
        <v>838429</v>
      </c>
      <c r="L372" s="14">
        <v>978067</v>
      </c>
      <c r="M372" s="14">
        <v>1117638</v>
      </c>
      <c r="N372" s="14">
        <v>1326120</v>
      </c>
      <c r="O372" s="14">
        <v>1537165</v>
      </c>
      <c r="P372" s="14">
        <v>1748199</v>
      </c>
      <c r="Q372" s="14">
        <v>1821350</v>
      </c>
      <c r="R372" s="15">
        <v>0.01</v>
      </c>
      <c r="S372" s="11">
        <f t="shared" si="10"/>
        <v>1513622.6300000001</v>
      </c>
      <c r="T372" s="1" t="str">
        <f t="shared" si="11"/>
        <v>YES</v>
      </c>
      <c r="U372" s="15">
        <v>0.75</v>
      </c>
      <c r="V372" s="11">
        <f t="shared" si="14"/>
        <v>1135216.9725000001</v>
      </c>
      <c r="W372" s="1" t="str">
        <f t="shared" si="15"/>
        <v>Yes</v>
      </c>
      <c r="X372" s="1"/>
      <c r="Y372" s="1"/>
      <c r="Z372" s="1"/>
      <c r="AA372" s="1"/>
    </row>
    <row r="373" spans="1:27" ht="14.4" x14ac:dyDescent="0.3">
      <c r="A373" s="1"/>
      <c r="B373" s="1"/>
      <c r="C373" s="1"/>
      <c r="D373" s="13">
        <v>59550</v>
      </c>
      <c r="E373" s="1" t="s">
        <v>307</v>
      </c>
      <c r="F373" s="14">
        <v>1639224</v>
      </c>
      <c r="G373" s="14">
        <v>3318557</v>
      </c>
      <c r="H373" s="14">
        <v>4984940</v>
      </c>
      <c r="I373" s="14">
        <v>6771665</v>
      </c>
      <c r="J373" s="14">
        <v>8628843</v>
      </c>
      <c r="K373" s="14">
        <v>10465888</v>
      </c>
      <c r="L373" s="14">
        <v>12282374</v>
      </c>
      <c r="M373" s="14">
        <v>14150490</v>
      </c>
      <c r="N373" s="14">
        <v>16559278</v>
      </c>
      <c r="O373" s="14">
        <v>18935428</v>
      </c>
      <c r="P373" s="14">
        <v>21411836</v>
      </c>
      <c r="Q373" s="14">
        <v>24192983</v>
      </c>
      <c r="R373" s="15">
        <v>0.01</v>
      </c>
      <c r="S373" s="11">
        <f t="shared" si="10"/>
        <v>1513622.6300000001</v>
      </c>
      <c r="T373" s="1" t="str">
        <f t="shared" si="11"/>
        <v>YES</v>
      </c>
      <c r="U373" s="15">
        <v>0.75</v>
      </c>
      <c r="V373" s="11">
        <f t="shared" si="14"/>
        <v>1135216.9725000001</v>
      </c>
      <c r="W373" s="1" t="str">
        <f t="shared" si="15"/>
        <v>Yes</v>
      </c>
      <c r="X373" s="1"/>
      <c r="Y373" s="1"/>
      <c r="Z373" s="1"/>
      <c r="AA373" s="1"/>
    </row>
    <row r="374" spans="1:27" ht="14.4" x14ac:dyDescent="0.3">
      <c r="A374" s="1"/>
      <c r="B374" s="1"/>
      <c r="C374" s="1"/>
      <c r="D374" s="13">
        <v>59560</v>
      </c>
      <c r="E374" s="1" t="s">
        <v>308</v>
      </c>
      <c r="F374" s="14">
        <v>6223</v>
      </c>
      <c r="G374" s="14">
        <v>12159</v>
      </c>
      <c r="H374" s="14">
        <v>18095</v>
      </c>
      <c r="I374" s="14">
        <v>24030</v>
      </c>
      <c r="J374" s="14">
        <v>29966</v>
      </c>
      <c r="K374" s="14">
        <v>35902</v>
      </c>
      <c r="L374" s="14">
        <v>41838</v>
      </c>
      <c r="M374" s="14">
        <v>47774</v>
      </c>
      <c r="N374" s="14">
        <v>57212</v>
      </c>
      <c r="O374" s="14">
        <v>66650</v>
      </c>
      <c r="P374" s="14">
        <v>76089</v>
      </c>
      <c r="Q374" s="14">
        <v>71608</v>
      </c>
      <c r="R374" s="15">
        <v>0.01</v>
      </c>
      <c r="S374" s="11">
        <f t="shared" si="10"/>
        <v>1513622.6300000001</v>
      </c>
      <c r="T374" s="1" t="str">
        <f t="shared" si="11"/>
        <v>NO</v>
      </c>
      <c r="U374" s="15">
        <v>0.75</v>
      </c>
      <c r="V374" s="11">
        <f t="shared" si="14"/>
        <v>1135216.9725000001</v>
      </c>
      <c r="W374" s="1" t="str">
        <f t="shared" si="15"/>
        <v>No</v>
      </c>
      <c r="X374" s="1"/>
      <c r="Y374" s="1"/>
      <c r="Z374" s="1"/>
      <c r="AA374" s="1"/>
    </row>
    <row r="375" spans="1:27" ht="14.4" x14ac:dyDescent="0.3">
      <c r="A375" s="1"/>
      <c r="B375" s="1"/>
      <c r="C375" s="1"/>
      <c r="D375" s="13">
        <v>59570</v>
      </c>
      <c r="E375" s="1" t="s">
        <v>309</v>
      </c>
      <c r="F375" s="13">
        <v>406</v>
      </c>
      <c r="G375" s="13">
        <v>811</v>
      </c>
      <c r="H375" s="14">
        <v>1217</v>
      </c>
      <c r="I375" s="14">
        <v>1622</v>
      </c>
      <c r="J375" s="14">
        <v>2028</v>
      </c>
      <c r="K375" s="14">
        <v>2434</v>
      </c>
      <c r="L375" s="14">
        <v>2839</v>
      </c>
      <c r="M375" s="14">
        <v>3245</v>
      </c>
      <c r="N375" s="14">
        <v>3650</v>
      </c>
      <c r="O375" s="14">
        <v>4056</v>
      </c>
      <c r="P375" s="14">
        <v>4462</v>
      </c>
      <c r="Q375" s="14">
        <v>4867</v>
      </c>
      <c r="R375" s="15">
        <v>0.01</v>
      </c>
      <c r="S375" s="11">
        <f t="shared" si="10"/>
        <v>1513622.6300000001</v>
      </c>
      <c r="T375" s="1" t="str">
        <f t="shared" si="11"/>
        <v>NO</v>
      </c>
      <c r="U375" s="15">
        <v>0.75</v>
      </c>
      <c r="V375" s="11">
        <f t="shared" si="14"/>
        <v>1135216.9725000001</v>
      </c>
      <c r="W375" s="1" t="str">
        <f t="shared" si="15"/>
        <v>No</v>
      </c>
      <c r="X375" s="1"/>
      <c r="Y375" s="1"/>
      <c r="Z375" s="1"/>
      <c r="AA375" s="1"/>
    </row>
    <row r="376" spans="1:27" ht="14.4" x14ac:dyDescent="0.3">
      <c r="A376" s="1"/>
      <c r="B376" s="1"/>
      <c r="C376" s="1"/>
      <c r="D376" s="13">
        <v>59590</v>
      </c>
      <c r="E376" s="1" t="s">
        <v>310</v>
      </c>
      <c r="F376" s="14">
        <v>111731</v>
      </c>
      <c r="G376" s="14">
        <v>221912</v>
      </c>
      <c r="H376" s="14">
        <v>330542</v>
      </c>
      <c r="I376" s="14">
        <v>439172</v>
      </c>
      <c r="J376" s="14">
        <v>559414</v>
      </c>
      <c r="K376" s="14">
        <v>670624</v>
      </c>
      <c r="L376" s="14">
        <v>781834</v>
      </c>
      <c r="M376" s="14">
        <v>893045</v>
      </c>
      <c r="N376" s="14">
        <v>1004255</v>
      </c>
      <c r="O376" s="14">
        <v>1115465</v>
      </c>
      <c r="P376" s="14">
        <v>1226676</v>
      </c>
      <c r="Q376" s="14">
        <v>1337886</v>
      </c>
      <c r="R376" s="15">
        <v>0.01</v>
      </c>
      <c r="S376" s="11">
        <f t="shared" si="10"/>
        <v>1513622.6300000001</v>
      </c>
      <c r="T376" s="1" t="str">
        <f t="shared" si="11"/>
        <v>NO</v>
      </c>
      <c r="U376" s="15">
        <v>0.75</v>
      </c>
      <c r="V376" s="11">
        <f t="shared" si="14"/>
        <v>1135216.9725000001</v>
      </c>
      <c r="W376" s="1" t="str">
        <f t="shared" si="15"/>
        <v>Yes</v>
      </c>
      <c r="X376" s="1"/>
      <c r="Y376" s="1"/>
      <c r="Z376" s="1"/>
      <c r="AA376" s="1"/>
    </row>
    <row r="377" spans="1:27" ht="14.4" x14ac:dyDescent="0.3">
      <c r="A377" s="1"/>
      <c r="B377" s="1"/>
      <c r="C377" s="1"/>
      <c r="D377" s="13">
        <v>59700</v>
      </c>
      <c r="E377" s="1" t="s">
        <v>311</v>
      </c>
      <c r="F377" s="14">
        <v>60099</v>
      </c>
      <c r="G377" s="14">
        <v>120157</v>
      </c>
      <c r="H377" s="14">
        <v>180191</v>
      </c>
      <c r="I377" s="14">
        <v>240238</v>
      </c>
      <c r="J377" s="14">
        <v>299800</v>
      </c>
      <c r="K377" s="14">
        <v>359802</v>
      </c>
      <c r="L377" s="14">
        <v>419802</v>
      </c>
      <c r="M377" s="14">
        <v>485713</v>
      </c>
      <c r="N377" s="14">
        <v>605653</v>
      </c>
      <c r="O377" s="14">
        <v>720911</v>
      </c>
      <c r="P377" s="14">
        <v>808412</v>
      </c>
      <c r="Q377" s="14">
        <v>921078</v>
      </c>
      <c r="R377" s="15">
        <v>0.01</v>
      </c>
      <c r="S377" s="11">
        <f t="shared" si="10"/>
        <v>1513622.6300000001</v>
      </c>
      <c r="T377" s="1" t="str">
        <f t="shared" si="11"/>
        <v>NO</v>
      </c>
      <c r="U377" s="15">
        <v>0.75</v>
      </c>
      <c r="V377" s="11">
        <f t="shared" si="14"/>
        <v>1135216.9725000001</v>
      </c>
      <c r="W377" s="1" t="str">
        <f t="shared" si="15"/>
        <v>No</v>
      </c>
      <c r="X377" s="1"/>
      <c r="Y377" s="1"/>
      <c r="Z377" s="1"/>
      <c r="AA377" s="1"/>
    </row>
    <row r="378" spans="1:27" ht="14.4" x14ac:dyDescent="0.3">
      <c r="A378" s="1"/>
      <c r="B378" s="1"/>
      <c r="C378" s="1"/>
      <c r="D378" s="13">
        <v>61100</v>
      </c>
      <c r="E378" s="1" t="s">
        <v>312</v>
      </c>
      <c r="F378" s="14">
        <v>1828680</v>
      </c>
      <c r="G378" s="14">
        <v>3699460</v>
      </c>
      <c r="H378" s="14">
        <v>5591794</v>
      </c>
      <c r="I378" s="14">
        <v>7476311</v>
      </c>
      <c r="J378" s="14">
        <v>9489501</v>
      </c>
      <c r="K378" s="14">
        <v>11437416</v>
      </c>
      <c r="L378" s="14">
        <v>13358195</v>
      </c>
      <c r="M378" s="14">
        <v>15279686</v>
      </c>
      <c r="N378" s="14">
        <v>17471929</v>
      </c>
      <c r="O378" s="14">
        <v>19598047</v>
      </c>
      <c r="P378" s="14">
        <v>21860201</v>
      </c>
      <c r="Q378" s="14">
        <v>24519045</v>
      </c>
      <c r="R378" s="15">
        <v>0.01</v>
      </c>
      <c r="S378" s="11">
        <f t="shared" si="10"/>
        <v>1513622.6300000001</v>
      </c>
      <c r="T378" s="1" t="str">
        <f t="shared" si="11"/>
        <v>YES</v>
      </c>
      <c r="U378" s="15">
        <v>0.75</v>
      </c>
      <c r="V378" s="11">
        <f t="shared" si="14"/>
        <v>1135216.9725000001</v>
      </c>
      <c r="W378" s="1" t="str">
        <f t="shared" si="15"/>
        <v>Yes</v>
      </c>
      <c r="X378" s="1"/>
      <c r="Y378" s="1"/>
      <c r="Z378" s="1"/>
      <c r="AA378" s="1"/>
    </row>
    <row r="379" spans="1:27" ht="14.4" x14ac:dyDescent="0.3">
      <c r="A379" s="1"/>
      <c r="B379" s="1"/>
      <c r="C379" s="1"/>
      <c r="D379" s="13">
        <v>61150</v>
      </c>
      <c r="E379" s="1" t="s">
        <v>312</v>
      </c>
      <c r="F379" s="14">
        <v>29649</v>
      </c>
      <c r="G379" s="14">
        <v>63420</v>
      </c>
      <c r="H379" s="14">
        <v>92449</v>
      </c>
      <c r="I379" s="14">
        <v>119311</v>
      </c>
      <c r="J379" s="14">
        <v>152291</v>
      </c>
      <c r="K379" s="14">
        <v>179830</v>
      </c>
      <c r="L379" s="14">
        <v>216895</v>
      </c>
      <c r="M379" s="14">
        <v>245940</v>
      </c>
      <c r="N379" s="14">
        <v>282248</v>
      </c>
      <c r="O379" s="14">
        <v>323767</v>
      </c>
      <c r="P379" s="14">
        <v>366532</v>
      </c>
      <c r="Q379" s="14">
        <v>406362</v>
      </c>
      <c r="R379" s="15">
        <v>0.01</v>
      </c>
      <c r="S379" s="11">
        <f t="shared" si="10"/>
        <v>1513622.6300000001</v>
      </c>
      <c r="T379" s="1" t="str">
        <f t="shared" si="11"/>
        <v>NO</v>
      </c>
      <c r="U379" s="15">
        <v>0.75</v>
      </c>
      <c r="V379" s="11">
        <f t="shared" si="14"/>
        <v>1135216.9725000001</v>
      </c>
      <c r="W379" s="1" t="str">
        <f t="shared" si="15"/>
        <v>No</v>
      </c>
      <c r="X379" s="1"/>
      <c r="Y379" s="1"/>
      <c r="Z379" s="1"/>
      <c r="AA379" s="1"/>
    </row>
    <row r="380" spans="1:27" ht="14.4" x14ac:dyDescent="0.3">
      <c r="A380" s="1"/>
      <c r="B380" s="1"/>
      <c r="C380" s="1"/>
      <c r="D380" s="13">
        <v>61155</v>
      </c>
      <c r="E380" s="1" t="s">
        <v>312</v>
      </c>
      <c r="F380" s="14">
        <v>449248</v>
      </c>
      <c r="G380" s="14">
        <v>899921</v>
      </c>
      <c r="H380" s="14">
        <v>1362818</v>
      </c>
      <c r="I380" s="14">
        <v>1820391</v>
      </c>
      <c r="J380" s="14">
        <v>2291636</v>
      </c>
      <c r="K380" s="14">
        <v>2885899</v>
      </c>
      <c r="L380" s="14">
        <v>3369508</v>
      </c>
      <c r="M380" s="14">
        <v>3850506</v>
      </c>
      <c r="N380" s="14">
        <v>4370518</v>
      </c>
      <c r="O380" s="14">
        <v>4869033</v>
      </c>
      <c r="P380" s="14">
        <v>5372770</v>
      </c>
      <c r="Q380" s="14">
        <v>5066163</v>
      </c>
      <c r="R380" s="15">
        <v>0.01</v>
      </c>
      <c r="S380" s="11">
        <f t="shared" si="10"/>
        <v>1513622.6300000001</v>
      </c>
      <c r="T380" s="1" t="str">
        <f t="shared" si="11"/>
        <v>YES</v>
      </c>
      <c r="U380" s="15">
        <v>0.75</v>
      </c>
      <c r="V380" s="11">
        <f t="shared" si="14"/>
        <v>1135216.9725000001</v>
      </c>
      <c r="W380" s="1" t="str">
        <f t="shared" si="15"/>
        <v>Yes</v>
      </c>
      <c r="X380" s="1"/>
      <c r="Y380" s="1"/>
      <c r="Z380" s="1"/>
      <c r="AA380" s="1"/>
    </row>
    <row r="381" spans="1:27" ht="14.4" x14ac:dyDescent="0.3">
      <c r="A381" s="1"/>
      <c r="B381" s="1"/>
      <c r="C381" s="1"/>
      <c r="D381" s="13">
        <v>61156</v>
      </c>
      <c r="E381" s="1" t="s">
        <v>312</v>
      </c>
      <c r="F381" s="14">
        <v>13321</v>
      </c>
      <c r="G381" s="14">
        <v>87050</v>
      </c>
      <c r="H381" s="14">
        <v>100486</v>
      </c>
      <c r="I381" s="14">
        <v>138742</v>
      </c>
      <c r="J381" s="14">
        <v>153552</v>
      </c>
      <c r="K381" s="14">
        <v>155486</v>
      </c>
      <c r="L381" s="14">
        <v>164572</v>
      </c>
      <c r="M381" s="14">
        <v>176414</v>
      </c>
      <c r="N381" s="14">
        <v>177295</v>
      </c>
      <c r="O381" s="14">
        <v>186019</v>
      </c>
      <c r="P381" s="14">
        <v>197163</v>
      </c>
      <c r="Q381" s="14">
        <v>360539</v>
      </c>
      <c r="R381" s="15">
        <v>0.01</v>
      </c>
      <c r="S381" s="11">
        <f t="shared" si="10"/>
        <v>1513622.6300000001</v>
      </c>
      <c r="T381" s="1" t="str">
        <f t="shared" si="11"/>
        <v>NO</v>
      </c>
      <c r="U381" s="15">
        <v>0.75</v>
      </c>
      <c r="V381" s="11">
        <f t="shared" si="14"/>
        <v>1135216.9725000001</v>
      </c>
      <c r="W381" s="1" t="str">
        <f t="shared" si="15"/>
        <v>No</v>
      </c>
      <c r="X381" s="1"/>
      <c r="Y381" s="1"/>
      <c r="Z381" s="1"/>
      <c r="AA381" s="1"/>
    </row>
    <row r="382" spans="1:27" ht="14.4" x14ac:dyDescent="0.3">
      <c r="A382" s="1"/>
      <c r="B382" s="1"/>
      <c r="C382" s="1"/>
      <c r="D382" s="13">
        <v>61157</v>
      </c>
      <c r="E382" s="1" t="s">
        <v>312</v>
      </c>
      <c r="F382" s="1"/>
      <c r="G382" s="1"/>
      <c r="H382" s="1"/>
      <c r="I382" s="14">
        <v>1931</v>
      </c>
      <c r="J382" s="14">
        <v>1931</v>
      </c>
      <c r="K382" s="14">
        <v>1931</v>
      </c>
      <c r="L382" s="14">
        <v>1931</v>
      </c>
      <c r="M382" s="14">
        <v>3933</v>
      </c>
      <c r="N382" s="14">
        <v>3933</v>
      </c>
      <c r="O382" s="14">
        <v>5751</v>
      </c>
      <c r="P382" s="14">
        <v>6646</v>
      </c>
      <c r="Q382" s="14">
        <v>5424</v>
      </c>
      <c r="R382" s="15">
        <v>0.01</v>
      </c>
      <c r="S382" s="11">
        <f t="shared" si="10"/>
        <v>1513622.6300000001</v>
      </c>
      <c r="T382" s="1" t="str">
        <f t="shared" si="11"/>
        <v>NO</v>
      </c>
      <c r="U382" s="15">
        <v>0.75</v>
      </c>
      <c r="V382" s="11">
        <f t="shared" si="14"/>
        <v>1135216.9725000001</v>
      </c>
      <c r="W382" s="1" t="str">
        <f t="shared" si="15"/>
        <v>No</v>
      </c>
      <c r="X382" s="1"/>
      <c r="Y382" s="1"/>
      <c r="Z382" s="1"/>
      <c r="AA382" s="1"/>
    </row>
    <row r="383" spans="1:27" ht="14.4" x14ac:dyDescent="0.3">
      <c r="A383" s="1"/>
      <c r="B383" s="1"/>
      <c r="C383" s="1"/>
      <c r="D383" s="13">
        <v>61158</v>
      </c>
      <c r="E383" s="1" t="s">
        <v>232</v>
      </c>
      <c r="F383" s="14">
        <v>34350</v>
      </c>
      <c r="G383" s="14">
        <v>71600</v>
      </c>
      <c r="H383" s="14">
        <v>109450</v>
      </c>
      <c r="I383" s="14">
        <v>147300</v>
      </c>
      <c r="J383" s="14">
        <v>185900</v>
      </c>
      <c r="K383" s="14">
        <v>198909</v>
      </c>
      <c r="L383" s="14">
        <v>239309</v>
      </c>
      <c r="M383" s="14">
        <v>280309</v>
      </c>
      <c r="N383" s="14">
        <v>284275</v>
      </c>
      <c r="O383" s="14">
        <v>326685</v>
      </c>
      <c r="P383" s="14">
        <v>369245</v>
      </c>
      <c r="Q383" s="14">
        <v>348006</v>
      </c>
      <c r="R383" s="15">
        <v>0.01</v>
      </c>
      <c r="S383" s="11">
        <f t="shared" si="10"/>
        <v>1513622.6300000001</v>
      </c>
      <c r="T383" s="1" t="str">
        <f t="shared" si="11"/>
        <v>NO</v>
      </c>
      <c r="U383" s="15">
        <v>0.75</v>
      </c>
      <c r="V383" s="11">
        <f t="shared" si="14"/>
        <v>1135216.9725000001</v>
      </c>
      <c r="W383" s="1" t="str">
        <f t="shared" si="15"/>
        <v>No</v>
      </c>
      <c r="X383" s="1"/>
      <c r="Y383" s="1"/>
      <c r="Z383" s="1"/>
      <c r="AA383" s="1"/>
    </row>
    <row r="384" spans="1:27" ht="14.4" x14ac:dyDescent="0.3">
      <c r="A384" s="1"/>
      <c r="B384" s="1"/>
      <c r="C384" s="1"/>
      <c r="D384" s="13">
        <v>61511</v>
      </c>
      <c r="E384" s="1" t="s">
        <v>235</v>
      </c>
      <c r="F384" s="14">
        <v>19592</v>
      </c>
      <c r="G384" s="14">
        <v>40109</v>
      </c>
      <c r="H384" s="14">
        <v>60432</v>
      </c>
      <c r="I384" s="14">
        <v>631089</v>
      </c>
      <c r="J384" s="14">
        <v>650608</v>
      </c>
      <c r="K384" s="14">
        <v>692954</v>
      </c>
      <c r="L384" s="14">
        <v>712445</v>
      </c>
      <c r="M384" s="14">
        <v>727179</v>
      </c>
      <c r="N384" s="14">
        <v>892488</v>
      </c>
      <c r="O384" s="14">
        <v>915689</v>
      </c>
      <c r="P384" s="14">
        <v>1120128</v>
      </c>
      <c r="Q384" s="14">
        <v>1133982</v>
      </c>
      <c r="R384" s="15">
        <v>0.01</v>
      </c>
      <c r="S384" s="11">
        <f t="shared" si="10"/>
        <v>1513622.6300000001</v>
      </c>
      <c r="T384" s="1" t="str">
        <f t="shared" si="11"/>
        <v>NO</v>
      </c>
      <c r="U384" s="15">
        <v>0.75</v>
      </c>
      <c r="V384" s="11">
        <f t="shared" si="14"/>
        <v>1135216.9725000001</v>
      </c>
      <c r="W384" s="1" t="str">
        <f t="shared" si="15"/>
        <v>No</v>
      </c>
      <c r="X384" s="1"/>
      <c r="Y384" s="1"/>
      <c r="Z384" s="1"/>
      <c r="AA384" s="1"/>
    </row>
    <row r="385" spans="1:27" ht="14.4" x14ac:dyDescent="0.3">
      <c r="A385" s="1"/>
      <c r="B385" s="1"/>
      <c r="C385" s="1"/>
      <c r="D385" s="13">
        <v>61512</v>
      </c>
      <c r="E385" s="1" t="s">
        <v>236</v>
      </c>
      <c r="F385" s="14">
        <v>335573</v>
      </c>
      <c r="G385" s="14">
        <v>569497</v>
      </c>
      <c r="H385" s="14">
        <v>775756</v>
      </c>
      <c r="I385" s="14">
        <v>1085498</v>
      </c>
      <c r="J385" s="14">
        <v>1335140</v>
      </c>
      <c r="K385" s="14">
        <v>1483416</v>
      </c>
      <c r="L385" s="14">
        <v>1745064</v>
      </c>
      <c r="M385" s="14">
        <v>2012561</v>
      </c>
      <c r="N385" s="14">
        <v>2084808</v>
      </c>
      <c r="O385" s="14">
        <v>2278465</v>
      </c>
      <c r="P385" s="14">
        <v>2472772</v>
      </c>
      <c r="Q385" s="14">
        <v>2859297</v>
      </c>
      <c r="R385" s="15">
        <v>0.01</v>
      </c>
      <c r="S385" s="11">
        <f t="shared" si="10"/>
        <v>1513622.6300000001</v>
      </c>
      <c r="T385" s="1" t="str">
        <f t="shared" si="11"/>
        <v>YES</v>
      </c>
      <c r="U385" s="15">
        <v>0.75</v>
      </c>
      <c r="V385" s="11">
        <f t="shared" si="14"/>
        <v>1135216.9725000001</v>
      </c>
      <c r="W385" s="1" t="str">
        <f t="shared" si="15"/>
        <v>Yes</v>
      </c>
      <c r="X385" s="1"/>
      <c r="Y385" s="1"/>
      <c r="Z385" s="1"/>
      <c r="AA385" s="1"/>
    </row>
    <row r="386" spans="1:27" ht="14.4" x14ac:dyDescent="0.3">
      <c r="A386" s="1"/>
      <c r="B386" s="1"/>
      <c r="C386" s="1"/>
      <c r="D386" s="13">
        <v>61513</v>
      </c>
      <c r="E386" s="1" t="s">
        <v>237</v>
      </c>
      <c r="F386" s="14">
        <v>147855</v>
      </c>
      <c r="G386" s="14">
        <v>207651</v>
      </c>
      <c r="H386" s="14">
        <v>318592</v>
      </c>
      <c r="I386" s="14">
        <v>418798</v>
      </c>
      <c r="J386" s="14">
        <v>519579</v>
      </c>
      <c r="K386" s="14">
        <v>132303</v>
      </c>
      <c r="L386" s="14">
        <v>235009</v>
      </c>
      <c r="M386" s="14">
        <v>337880</v>
      </c>
      <c r="N386" s="14">
        <v>445574</v>
      </c>
      <c r="O386" s="14">
        <v>557944</v>
      </c>
      <c r="P386" s="14">
        <v>671122</v>
      </c>
      <c r="Q386" s="14">
        <v>451762</v>
      </c>
      <c r="R386" s="15">
        <v>0.01</v>
      </c>
      <c r="S386" s="11">
        <f t="shared" si="10"/>
        <v>1513622.6300000001</v>
      </c>
      <c r="T386" s="1" t="str">
        <f t="shared" si="11"/>
        <v>NO</v>
      </c>
      <c r="U386" s="15">
        <v>0.75</v>
      </c>
      <c r="V386" s="11">
        <f t="shared" si="14"/>
        <v>1135216.9725000001</v>
      </c>
      <c r="W386" s="1" t="str">
        <f t="shared" si="15"/>
        <v>No</v>
      </c>
      <c r="X386" s="1"/>
      <c r="Y386" s="1"/>
      <c r="Z386" s="1"/>
      <c r="AA386" s="1"/>
    </row>
    <row r="387" spans="1:27" ht="14.4" x14ac:dyDescent="0.3">
      <c r="A387" s="1"/>
      <c r="B387" s="1"/>
      <c r="C387" s="1"/>
      <c r="D387" s="13">
        <v>61514</v>
      </c>
      <c r="E387" s="1" t="s">
        <v>238</v>
      </c>
      <c r="F387" s="14">
        <v>223077</v>
      </c>
      <c r="G387" s="14">
        <v>385969</v>
      </c>
      <c r="H387" s="14">
        <v>560662</v>
      </c>
      <c r="I387" s="14">
        <v>693073</v>
      </c>
      <c r="J387" s="14">
        <v>866294</v>
      </c>
      <c r="K387" s="14">
        <v>1032183</v>
      </c>
      <c r="L387" s="14">
        <v>1164302</v>
      </c>
      <c r="M387" s="14">
        <v>1290770</v>
      </c>
      <c r="N387" s="14">
        <v>1418519</v>
      </c>
      <c r="O387" s="14">
        <v>1548448</v>
      </c>
      <c r="P387" s="14">
        <v>1732866</v>
      </c>
      <c r="Q387" s="14">
        <v>1966358</v>
      </c>
      <c r="R387" s="15">
        <v>0.01</v>
      </c>
      <c r="S387" s="11">
        <f t="shared" si="10"/>
        <v>1513622.6300000001</v>
      </c>
      <c r="T387" s="1" t="str">
        <f t="shared" si="11"/>
        <v>YES</v>
      </c>
      <c r="U387" s="15">
        <v>0.75</v>
      </c>
      <c r="V387" s="11">
        <f t="shared" si="14"/>
        <v>1135216.9725000001</v>
      </c>
      <c r="W387" s="1" t="str">
        <f t="shared" si="15"/>
        <v>Yes</v>
      </c>
      <c r="X387" s="1"/>
      <c r="Y387" s="1"/>
      <c r="Z387" s="1"/>
      <c r="AA387" s="1"/>
    </row>
    <row r="388" spans="1:27" ht="14.4" x14ac:dyDescent="0.3">
      <c r="A388" s="1"/>
      <c r="B388" s="1"/>
      <c r="C388" s="1"/>
      <c r="D388" s="13">
        <v>61516</v>
      </c>
      <c r="E388" s="1" t="s">
        <v>239</v>
      </c>
      <c r="F388" s="14">
        <v>40201</v>
      </c>
      <c r="G388" s="14">
        <v>76236</v>
      </c>
      <c r="H388" s="14">
        <v>120171</v>
      </c>
      <c r="I388" s="14">
        <v>155925</v>
      </c>
      <c r="J388" s="14">
        <v>193513</v>
      </c>
      <c r="K388" s="14">
        <v>228206</v>
      </c>
      <c r="L388" s="14">
        <v>262761</v>
      </c>
      <c r="M388" s="14">
        <v>297085</v>
      </c>
      <c r="N388" s="14">
        <v>330821</v>
      </c>
      <c r="O388" s="14">
        <v>363803</v>
      </c>
      <c r="P388" s="14">
        <v>396378</v>
      </c>
      <c r="Q388" s="14">
        <v>504358</v>
      </c>
      <c r="R388" s="15">
        <v>0.01</v>
      </c>
      <c r="S388" s="11">
        <f t="shared" si="10"/>
        <v>1513622.6300000001</v>
      </c>
      <c r="T388" s="1" t="str">
        <f t="shared" si="11"/>
        <v>NO</v>
      </c>
      <c r="U388" s="15">
        <v>0.75</v>
      </c>
      <c r="V388" s="11">
        <f t="shared" si="14"/>
        <v>1135216.9725000001</v>
      </c>
      <c r="W388" s="1" t="str">
        <f t="shared" si="15"/>
        <v>No</v>
      </c>
      <c r="X388" s="1"/>
      <c r="Y388" s="1"/>
      <c r="Z388" s="1"/>
      <c r="AA388" s="1"/>
    </row>
    <row r="389" spans="1:27" ht="14.4" x14ac:dyDescent="0.3">
      <c r="A389" s="1"/>
      <c r="B389" s="1"/>
      <c r="C389" s="1"/>
      <c r="D389" s="13">
        <v>61517</v>
      </c>
      <c r="E389" s="1" t="s">
        <v>288</v>
      </c>
      <c r="F389" s="14">
        <v>6266</v>
      </c>
      <c r="G389" s="14">
        <v>25086</v>
      </c>
      <c r="H389" s="14">
        <v>31582</v>
      </c>
      <c r="I389" s="14">
        <v>38078</v>
      </c>
      <c r="J389" s="14">
        <v>41456</v>
      </c>
      <c r="K389" s="14">
        <v>44835</v>
      </c>
      <c r="L389" s="14">
        <v>48257</v>
      </c>
      <c r="M389" s="14">
        <v>51690</v>
      </c>
      <c r="N389" s="14">
        <v>55127</v>
      </c>
      <c r="O389" s="14">
        <v>61929</v>
      </c>
      <c r="P389" s="14">
        <v>68895</v>
      </c>
      <c r="Q389" s="14">
        <v>106734</v>
      </c>
      <c r="R389" s="15">
        <v>0.01</v>
      </c>
      <c r="S389" s="11">
        <f t="shared" si="10"/>
        <v>1513622.6300000001</v>
      </c>
      <c r="T389" s="1" t="str">
        <f t="shared" si="11"/>
        <v>NO</v>
      </c>
      <c r="U389" s="15">
        <v>0.75</v>
      </c>
      <c r="V389" s="11">
        <f t="shared" si="14"/>
        <v>1135216.9725000001</v>
      </c>
      <c r="W389" s="1" t="str">
        <f t="shared" si="15"/>
        <v>No</v>
      </c>
      <c r="X389" s="1"/>
      <c r="Y389" s="1"/>
      <c r="Z389" s="1"/>
      <c r="AA389" s="1"/>
    </row>
    <row r="390" spans="1:27" ht="14.4" x14ac:dyDescent="0.3">
      <c r="A390" s="1"/>
      <c r="B390" s="1"/>
      <c r="C390" s="1"/>
      <c r="D390" s="13">
        <v>61519</v>
      </c>
      <c r="E390" s="1" t="s">
        <v>289</v>
      </c>
      <c r="F390" s="14">
        <v>2321</v>
      </c>
      <c r="G390" s="14">
        <v>5914</v>
      </c>
      <c r="H390" s="14">
        <v>8369</v>
      </c>
      <c r="I390" s="14">
        <v>11841</v>
      </c>
      <c r="J390" s="14">
        <v>14301</v>
      </c>
      <c r="K390" s="14">
        <v>17011</v>
      </c>
      <c r="L390" s="14">
        <v>19519</v>
      </c>
      <c r="M390" s="14">
        <v>20811</v>
      </c>
      <c r="N390" s="14">
        <v>23318</v>
      </c>
      <c r="O390" s="14">
        <v>26029</v>
      </c>
      <c r="P390" s="14">
        <v>28536</v>
      </c>
      <c r="Q390" s="14">
        <v>31247</v>
      </c>
      <c r="R390" s="15">
        <v>0.01</v>
      </c>
      <c r="S390" s="11">
        <f t="shared" si="10"/>
        <v>1513622.6300000001</v>
      </c>
      <c r="T390" s="1" t="str">
        <f t="shared" si="11"/>
        <v>NO</v>
      </c>
      <c r="U390" s="15">
        <v>0.75</v>
      </c>
      <c r="V390" s="11">
        <f t="shared" si="14"/>
        <v>1135216.9725000001</v>
      </c>
      <c r="W390" s="1" t="str">
        <f t="shared" si="15"/>
        <v>No</v>
      </c>
      <c r="X390" s="1"/>
      <c r="Y390" s="1"/>
      <c r="Z390" s="1"/>
      <c r="AA390" s="1"/>
    </row>
    <row r="391" spans="1:27" ht="14.4" x14ac:dyDescent="0.3">
      <c r="A391" s="1"/>
      <c r="B391" s="1"/>
      <c r="C391" s="1"/>
      <c r="D391" s="13">
        <v>62000</v>
      </c>
      <c r="E391" s="1" t="s">
        <v>313</v>
      </c>
      <c r="F391" s="14">
        <v>161524</v>
      </c>
      <c r="G391" s="14">
        <v>409776</v>
      </c>
      <c r="H391" s="14">
        <v>615721</v>
      </c>
      <c r="I391" s="14">
        <v>835653</v>
      </c>
      <c r="J391" s="14">
        <v>1101822</v>
      </c>
      <c r="K391" s="14">
        <v>1408586</v>
      </c>
      <c r="L391" s="14">
        <v>1333243</v>
      </c>
      <c r="M391" s="14">
        <v>1626821</v>
      </c>
      <c r="N391" s="14">
        <v>2089523</v>
      </c>
      <c r="O391" s="14">
        <v>2505242</v>
      </c>
      <c r="P391" s="14">
        <v>2861862</v>
      </c>
      <c r="Q391" s="14">
        <v>5103904</v>
      </c>
      <c r="R391" s="15">
        <v>0.01</v>
      </c>
      <c r="S391" s="11">
        <f t="shared" si="10"/>
        <v>1513622.6300000001</v>
      </c>
      <c r="T391" s="1" t="str">
        <f t="shared" si="11"/>
        <v>YES</v>
      </c>
      <c r="U391" s="15">
        <v>0.75</v>
      </c>
      <c r="V391" s="11">
        <f t="shared" si="14"/>
        <v>1135216.9725000001</v>
      </c>
      <c r="W391" s="1" t="str">
        <f t="shared" si="15"/>
        <v>Yes</v>
      </c>
      <c r="X391" s="1"/>
      <c r="Y391" s="1"/>
      <c r="Z391" s="1"/>
      <c r="AA391" s="1"/>
    </row>
    <row r="392" spans="1:27" ht="14.4" x14ac:dyDescent="0.3">
      <c r="A392" s="1"/>
      <c r="B392" s="1"/>
      <c r="C392" s="1"/>
      <c r="D392" s="13">
        <v>62010</v>
      </c>
      <c r="E392" s="1" t="s">
        <v>314</v>
      </c>
      <c r="F392" s="14">
        <v>202957</v>
      </c>
      <c r="G392" s="14">
        <v>412938</v>
      </c>
      <c r="H392" s="14">
        <v>614425</v>
      </c>
      <c r="I392" s="14">
        <v>777901</v>
      </c>
      <c r="J392" s="14">
        <v>2202699</v>
      </c>
      <c r="K392" s="14">
        <v>2579076</v>
      </c>
      <c r="L392" s="14">
        <v>4461982</v>
      </c>
      <c r="M392" s="14">
        <v>4949826</v>
      </c>
      <c r="N392" s="14">
        <v>3226509</v>
      </c>
      <c r="O392" s="14">
        <v>4293776</v>
      </c>
      <c r="P392" s="14">
        <v>4736274</v>
      </c>
      <c r="Q392" s="14">
        <v>5181832</v>
      </c>
      <c r="R392" s="15">
        <v>0.01</v>
      </c>
      <c r="S392" s="11">
        <f t="shared" si="10"/>
        <v>1513622.6300000001</v>
      </c>
      <c r="T392" s="1" t="str">
        <f t="shared" si="11"/>
        <v>YES</v>
      </c>
      <c r="U392" s="15">
        <v>0.75</v>
      </c>
      <c r="V392" s="11">
        <f t="shared" si="14"/>
        <v>1135216.9725000001</v>
      </c>
      <c r="W392" s="1" t="str">
        <f t="shared" si="15"/>
        <v>Yes</v>
      </c>
      <c r="X392" s="1"/>
      <c r="Y392" s="1"/>
      <c r="Z392" s="1"/>
      <c r="AA392" s="1"/>
    </row>
    <row r="393" spans="1:27" ht="14.4" x14ac:dyDescent="0.3">
      <c r="A393" s="1"/>
      <c r="B393" s="1"/>
      <c r="C393" s="1"/>
      <c r="D393" s="13">
        <v>62020</v>
      </c>
      <c r="E393" s="1" t="s">
        <v>314</v>
      </c>
      <c r="F393" s="14">
        <v>214770</v>
      </c>
      <c r="G393" s="14">
        <v>413366</v>
      </c>
      <c r="H393" s="14">
        <v>689089</v>
      </c>
      <c r="I393" s="14">
        <v>1375343</v>
      </c>
      <c r="J393" s="14">
        <v>1826222</v>
      </c>
      <c r="K393" s="14">
        <v>1863207</v>
      </c>
      <c r="L393" s="14">
        <v>2830493</v>
      </c>
      <c r="M393" s="14">
        <v>3612061</v>
      </c>
      <c r="N393" s="14">
        <v>5002392</v>
      </c>
      <c r="O393" s="14">
        <v>5879843</v>
      </c>
      <c r="P393" s="14">
        <v>6343885</v>
      </c>
      <c r="Q393" s="14">
        <v>7475730</v>
      </c>
      <c r="R393" s="15">
        <v>0.01</v>
      </c>
      <c r="S393" s="11">
        <f t="shared" si="10"/>
        <v>1513622.6300000001</v>
      </c>
      <c r="T393" s="1" t="str">
        <f t="shared" si="11"/>
        <v>YES</v>
      </c>
      <c r="U393" s="15">
        <v>0.75</v>
      </c>
      <c r="V393" s="11">
        <f t="shared" si="14"/>
        <v>1135216.9725000001</v>
      </c>
      <c r="W393" s="1" t="str">
        <f t="shared" si="15"/>
        <v>Yes</v>
      </c>
      <c r="X393" s="1"/>
      <c r="Y393" s="1"/>
      <c r="Z393" s="1"/>
      <c r="AA393" s="1"/>
    </row>
    <row r="394" spans="1:27" ht="14.4" x14ac:dyDescent="0.3">
      <c r="A394" s="1"/>
      <c r="B394" s="1"/>
      <c r="C394" s="1"/>
      <c r="D394" s="13">
        <v>62030</v>
      </c>
      <c r="E394" s="1" t="s">
        <v>314</v>
      </c>
      <c r="F394" s="14">
        <v>27000</v>
      </c>
      <c r="G394" s="14">
        <v>58150</v>
      </c>
      <c r="H394" s="14">
        <v>85150</v>
      </c>
      <c r="I394" s="14">
        <v>121239</v>
      </c>
      <c r="J394" s="14">
        <v>152688</v>
      </c>
      <c r="K394" s="14">
        <v>220910</v>
      </c>
      <c r="L394" s="14">
        <v>226192</v>
      </c>
      <c r="M394" s="14">
        <v>274192</v>
      </c>
      <c r="N394" s="14">
        <v>324395</v>
      </c>
      <c r="O394" s="14">
        <v>351395</v>
      </c>
      <c r="P394" s="14">
        <v>378395</v>
      </c>
      <c r="Q394" s="14">
        <v>583057</v>
      </c>
      <c r="R394" s="15">
        <v>0.01</v>
      </c>
      <c r="S394" s="11">
        <f t="shared" si="10"/>
        <v>1513622.6300000001</v>
      </c>
      <c r="T394" s="1" t="str">
        <f t="shared" si="11"/>
        <v>NO</v>
      </c>
      <c r="U394" s="15">
        <v>0.75</v>
      </c>
      <c r="V394" s="11">
        <f t="shared" si="14"/>
        <v>1135216.9725000001</v>
      </c>
      <c r="W394" s="1" t="str">
        <f t="shared" si="15"/>
        <v>No</v>
      </c>
      <c r="X394" s="1"/>
      <c r="Y394" s="1"/>
      <c r="Z394" s="1"/>
      <c r="AA394" s="1"/>
    </row>
    <row r="395" spans="1:27" ht="14.4" x14ac:dyDescent="0.3">
      <c r="A395" s="1"/>
      <c r="B395" s="1"/>
      <c r="C395" s="1"/>
      <c r="D395" s="13">
        <v>62040</v>
      </c>
      <c r="E395" s="1" t="s">
        <v>314</v>
      </c>
      <c r="F395" s="14">
        <v>26667</v>
      </c>
      <c r="G395" s="14">
        <v>53334</v>
      </c>
      <c r="H395" s="14">
        <v>80001</v>
      </c>
      <c r="I395" s="14">
        <v>106668</v>
      </c>
      <c r="J395" s="14">
        <v>133335</v>
      </c>
      <c r="K395" s="14">
        <v>160002</v>
      </c>
      <c r="L395" s="14">
        <v>186669</v>
      </c>
      <c r="M395" s="14">
        <v>213336</v>
      </c>
      <c r="N395" s="14">
        <v>240003</v>
      </c>
      <c r="O395" s="14">
        <v>266670</v>
      </c>
      <c r="P395" s="14">
        <v>293337</v>
      </c>
      <c r="Q395" s="14">
        <v>260000</v>
      </c>
      <c r="R395" s="15">
        <v>0.01</v>
      </c>
      <c r="S395" s="11">
        <f t="shared" si="10"/>
        <v>1513622.6300000001</v>
      </c>
      <c r="T395" s="1" t="str">
        <f t="shared" si="11"/>
        <v>NO</v>
      </c>
      <c r="U395" s="15">
        <v>0.75</v>
      </c>
      <c r="V395" s="11">
        <f t="shared" si="14"/>
        <v>1135216.9725000001</v>
      </c>
      <c r="W395" s="1" t="str">
        <f t="shared" si="15"/>
        <v>No</v>
      </c>
      <c r="X395" s="1"/>
      <c r="Y395" s="1"/>
      <c r="Z395" s="1"/>
      <c r="AA395" s="1"/>
    </row>
    <row r="396" spans="1:27" ht="14.4" x14ac:dyDescent="0.3">
      <c r="A396" s="1"/>
      <c r="B396" s="1"/>
      <c r="C396" s="1"/>
      <c r="D396" s="13">
        <v>62050</v>
      </c>
      <c r="E396" s="1" t="s">
        <v>314</v>
      </c>
      <c r="F396" s="14">
        <v>12500</v>
      </c>
      <c r="G396" s="14">
        <v>25000</v>
      </c>
      <c r="H396" s="14">
        <v>37500</v>
      </c>
      <c r="I396" s="14">
        <v>50000</v>
      </c>
      <c r="J396" s="14">
        <v>62500</v>
      </c>
      <c r="K396" s="14">
        <v>75000</v>
      </c>
      <c r="L396" s="14">
        <v>87500</v>
      </c>
      <c r="M396" s="14">
        <v>100000</v>
      </c>
      <c r="N396" s="14">
        <v>112500</v>
      </c>
      <c r="O396" s="14">
        <v>125000</v>
      </c>
      <c r="P396" s="14">
        <v>137500</v>
      </c>
      <c r="Q396" s="14">
        <v>150000</v>
      </c>
      <c r="R396" s="15">
        <v>0.01</v>
      </c>
      <c r="S396" s="11">
        <f t="shared" si="10"/>
        <v>1513622.6300000001</v>
      </c>
      <c r="T396" s="1" t="str">
        <f t="shared" si="11"/>
        <v>NO</v>
      </c>
      <c r="U396" s="15">
        <v>0.75</v>
      </c>
      <c r="V396" s="11">
        <f t="shared" si="14"/>
        <v>1135216.9725000001</v>
      </c>
      <c r="W396" s="1" t="str">
        <f t="shared" si="15"/>
        <v>No</v>
      </c>
      <c r="X396" s="1"/>
      <c r="Y396" s="1"/>
      <c r="Z396" s="1"/>
      <c r="AA396" s="1"/>
    </row>
    <row r="397" spans="1:27" ht="14.4" x14ac:dyDescent="0.3">
      <c r="A397" s="1"/>
      <c r="B397" s="1"/>
      <c r="C397" s="1"/>
      <c r="D397" s="13">
        <v>62060</v>
      </c>
      <c r="E397" s="1" t="s">
        <v>314</v>
      </c>
      <c r="F397" s="13">
        <v>520</v>
      </c>
      <c r="G397" s="14">
        <v>1040</v>
      </c>
      <c r="H397" s="14">
        <v>1560</v>
      </c>
      <c r="I397" s="14">
        <v>2080</v>
      </c>
      <c r="J397" s="14">
        <v>2600</v>
      </c>
      <c r="K397" s="14">
        <v>3120</v>
      </c>
      <c r="L397" s="14">
        <v>3640</v>
      </c>
      <c r="M397" s="14">
        <v>4160</v>
      </c>
      <c r="N397" s="14">
        <v>4680</v>
      </c>
      <c r="O397" s="14">
        <v>5200</v>
      </c>
      <c r="P397" s="14">
        <v>5720</v>
      </c>
      <c r="Q397" s="14">
        <v>6240</v>
      </c>
      <c r="R397" s="15">
        <v>0.01</v>
      </c>
      <c r="S397" s="11">
        <f t="shared" si="10"/>
        <v>1513622.6300000001</v>
      </c>
      <c r="T397" s="1" t="str">
        <f t="shared" si="11"/>
        <v>NO</v>
      </c>
      <c r="U397" s="15">
        <v>0.75</v>
      </c>
      <c r="V397" s="11">
        <f t="shared" si="14"/>
        <v>1135216.9725000001</v>
      </c>
      <c r="W397" s="1" t="str">
        <f t="shared" si="15"/>
        <v>No</v>
      </c>
      <c r="X397" s="1"/>
      <c r="Y397" s="1"/>
      <c r="Z397" s="1"/>
      <c r="AA397" s="1"/>
    </row>
    <row r="398" spans="1:27" ht="14.4" x14ac:dyDescent="0.3">
      <c r="A398" s="1"/>
      <c r="B398" s="1"/>
      <c r="C398" s="1"/>
      <c r="D398" s="13">
        <v>62070</v>
      </c>
      <c r="E398" s="1" t="s">
        <v>314</v>
      </c>
      <c r="F398" s="14">
        <v>24855</v>
      </c>
      <c r="G398" s="14">
        <v>36240</v>
      </c>
      <c r="H398" s="14">
        <v>36240</v>
      </c>
      <c r="I398" s="14">
        <v>63752</v>
      </c>
      <c r="J398" s="14">
        <v>84851</v>
      </c>
      <c r="K398" s="14">
        <v>84851</v>
      </c>
      <c r="L398" s="14">
        <v>122147</v>
      </c>
      <c r="M398" s="14">
        <v>143494</v>
      </c>
      <c r="N398" s="14">
        <v>181761</v>
      </c>
      <c r="O398" s="14">
        <v>268816</v>
      </c>
      <c r="P398" s="14">
        <v>291573</v>
      </c>
      <c r="Q398" s="14">
        <v>330702</v>
      </c>
      <c r="R398" s="15">
        <v>0.01</v>
      </c>
      <c r="S398" s="11">
        <f t="shared" si="10"/>
        <v>1513622.6300000001</v>
      </c>
      <c r="T398" s="1" t="str">
        <f t="shared" si="11"/>
        <v>NO</v>
      </c>
      <c r="U398" s="15">
        <v>0.75</v>
      </c>
      <c r="V398" s="11">
        <f t="shared" ref="V398:V461" si="16">S398*U398</f>
        <v>1135216.9725000001</v>
      </c>
      <c r="W398" s="1" t="str">
        <f t="shared" ref="W398:W461" si="17">IF(ABS(Q398)&gt;V398,"Yes","No")</f>
        <v>No</v>
      </c>
      <c r="X398" s="1"/>
      <c r="Y398" s="1"/>
      <c r="Z398" s="1"/>
      <c r="AA398" s="1"/>
    </row>
    <row r="399" spans="1:27" ht="14.4" x14ac:dyDescent="0.3">
      <c r="A399" s="1"/>
      <c r="B399" s="1"/>
      <c r="C399" s="1"/>
      <c r="D399" s="13">
        <v>62080</v>
      </c>
      <c r="E399" s="1" t="s">
        <v>314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4">
        <v>24985</v>
      </c>
      <c r="R399" s="15">
        <v>0.01</v>
      </c>
      <c r="S399" s="11">
        <f t="shared" si="10"/>
        <v>1513622.6300000001</v>
      </c>
      <c r="T399" s="1" t="str">
        <f t="shared" si="11"/>
        <v>NO</v>
      </c>
      <c r="U399" s="15">
        <v>0.75</v>
      </c>
      <c r="V399" s="11">
        <f t="shared" si="16"/>
        <v>1135216.9725000001</v>
      </c>
      <c r="W399" s="1" t="str">
        <f t="shared" si="17"/>
        <v>No</v>
      </c>
      <c r="X399" s="1"/>
      <c r="Y399" s="1"/>
      <c r="Z399" s="1"/>
      <c r="AA399" s="1"/>
    </row>
    <row r="400" spans="1:27" ht="14.4" x14ac:dyDescent="0.3">
      <c r="A400" s="1"/>
      <c r="B400" s="1"/>
      <c r="C400" s="1"/>
      <c r="D400" s="13">
        <v>62090</v>
      </c>
      <c r="E400" s="1" t="s">
        <v>314</v>
      </c>
      <c r="F400" s="1"/>
      <c r="G400" s="1"/>
      <c r="H400" s="1"/>
      <c r="I400" s="1"/>
      <c r="J400" s="1"/>
      <c r="K400" s="1"/>
      <c r="L400" s="1"/>
      <c r="M400" s="1"/>
      <c r="N400" s="14">
        <v>5400</v>
      </c>
      <c r="O400" s="14">
        <v>5400</v>
      </c>
      <c r="P400" s="14">
        <v>5400</v>
      </c>
      <c r="Q400" s="14">
        <v>5400</v>
      </c>
      <c r="R400" s="15">
        <v>0.01</v>
      </c>
      <c r="S400" s="11">
        <f t="shared" si="10"/>
        <v>1513622.6300000001</v>
      </c>
      <c r="T400" s="1" t="str">
        <f t="shared" si="11"/>
        <v>NO</v>
      </c>
      <c r="U400" s="15">
        <v>0.75</v>
      </c>
      <c r="V400" s="11">
        <f t="shared" si="16"/>
        <v>1135216.9725000001</v>
      </c>
      <c r="W400" s="1" t="str">
        <f t="shared" si="17"/>
        <v>No</v>
      </c>
      <c r="X400" s="1"/>
      <c r="Y400" s="1"/>
      <c r="Z400" s="1"/>
      <c r="AA400" s="1"/>
    </row>
    <row r="401" spans="1:27" ht="14.4" x14ac:dyDescent="0.3">
      <c r="A401" s="1"/>
      <c r="B401" s="1"/>
      <c r="C401" s="1"/>
      <c r="D401" s="13">
        <v>62100</v>
      </c>
      <c r="E401" s="1" t="s">
        <v>315</v>
      </c>
      <c r="F401" s="14">
        <v>17056</v>
      </c>
      <c r="G401" s="14">
        <v>55087</v>
      </c>
      <c r="H401" s="14">
        <v>80172</v>
      </c>
      <c r="I401" s="14">
        <v>101690</v>
      </c>
      <c r="J401" s="14">
        <v>124837</v>
      </c>
      <c r="K401" s="14">
        <v>146102</v>
      </c>
      <c r="L401" s="14">
        <v>186036</v>
      </c>
      <c r="M401" s="14">
        <v>212830</v>
      </c>
      <c r="N401" s="14">
        <v>272541</v>
      </c>
      <c r="O401" s="14">
        <v>308239</v>
      </c>
      <c r="P401" s="14">
        <v>395885</v>
      </c>
      <c r="Q401" s="14">
        <v>489722</v>
      </c>
      <c r="R401" s="15">
        <v>0.01</v>
      </c>
      <c r="S401" s="11">
        <f t="shared" si="10"/>
        <v>1513622.6300000001</v>
      </c>
      <c r="T401" s="1" t="str">
        <f t="shared" si="11"/>
        <v>NO</v>
      </c>
      <c r="U401" s="15">
        <v>0.75</v>
      </c>
      <c r="V401" s="11">
        <f t="shared" si="16"/>
        <v>1135216.9725000001</v>
      </c>
      <c r="W401" s="1" t="str">
        <f t="shared" si="17"/>
        <v>No</v>
      </c>
      <c r="X401" s="1"/>
      <c r="Y401" s="1"/>
      <c r="Z401" s="1"/>
      <c r="AA401" s="1"/>
    </row>
    <row r="402" spans="1:27" ht="14.4" x14ac:dyDescent="0.3">
      <c r="A402" s="1"/>
      <c r="B402" s="1"/>
      <c r="C402" s="1"/>
      <c r="D402" s="13">
        <v>62110</v>
      </c>
      <c r="E402" s="1" t="s">
        <v>315</v>
      </c>
      <c r="F402" s="14">
        <v>32325</v>
      </c>
      <c r="G402" s="14">
        <v>60501</v>
      </c>
      <c r="H402" s="14">
        <v>83932</v>
      </c>
      <c r="I402" s="14">
        <v>103923</v>
      </c>
      <c r="J402" s="14">
        <v>128653</v>
      </c>
      <c r="K402" s="14">
        <v>146033</v>
      </c>
      <c r="L402" s="14">
        <v>172585</v>
      </c>
      <c r="M402" s="14">
        <v>185649</v>
      </c>
      <c r="N402" s="14">
        <v>217711</v>
      </c>
      <c r="O402" s="14">
        <v>279520</v>
      </c>
      <c r="P402" s="14">
        <v>304935</v>
      </c>
      <c r="Q402" s="14">
        <v>381640</v>
      </c>
      <c r="R402" s="15">
        <v>0.01</v>
      </c>
      <c r="S402" s="11">
        <f t="shared" si="10"/>
        <v>1513622.6300000001</v>
      </c>
      <c r="T402" s="1" t="str">
        <f t="shared" si="11"/>
        <v>NO</v>
      </c>
      <c r="U402" s="15">
        <v>0.75</v>
      </c>
      <c r="V402" s="11">
        <f t="shared" si="16"/>
        <v>1135216.9725000001</v>
      </c>
      <c r="W402" s="1" t="str">
        <f t="shared" si="17"/>
        <v>No</v>
      </c>
      <c r="X402" s="1"/>
      <c r="Y402" s="1"/>
      <c r="Z402" s="1"/>
      <c r="AA402" s="1"/>
    </row>
    <row r="403" spans="1:27" ht="14.4" x14ac:dyDescent="0.3">
      <c r="A403" s="1"/>
      <c r="B403" s="1"/>
      <c r="C403" s="1"/>
      <c r="D403" s="13">
        <v>62120</v>
      </c>
      <c r="E403" s="1" t="s">
        <v>315</v>
      </c>
      <c r="F403" s="14">
        <v>35367</v>
      </c>
      <c r="G403" s="14">
        <v>71463</v>
      </c>
      <c r="H403" s="14">
        <v>114567</v>
      </c>
      <c r="I403" s="14">
        <v>155355</v>
      </c>
      <c r="J403" s="14">
        <v>210978</v>
      </c>
      <c r="K403" s="14">
        <v>268499</v>
      </c>
      <c r="L403" s="14">
        <v>324830</v>
      </c>
      <c r="M403" s="14">
        <v>365144</v>
      </c>
      <c r="N403" s="14">
        <v>427700</v>
      </c>
      <c r="O403" s="14">
        <v>477485</v>
      </c>
      <c r="P403" s="14">
        <v>532200</v>
      </c>
      <c r="Q403" s="14">
        <v>577271</v>
      </c>
      <c r="R403" s="15">
        <v>0.01</v>
      </c>
      <c r="S403" s="11">
        <f t="shared" si="10"/>
        <v>1513622.6300000001</v>
      </c>
      <c r="T403" s="1" t="str">
        <f t="shared" si="11"/>
        <v>NO</v>
      </c>
      <c r="U403" s="15">
        <v>0.75</v>
      </c>
      <c r="V403" s="11">
        <f t="shared" si="16"/>
        <v>1135216.9725000001</v>
      </c>
      <c r="W403" s="1" t="str">
        <f t="shared" si="17"/>
        <v>No</v>
      </c>
      <c r="X403" s="1"/>
      <c r="Y403" s="1"/>
      <c r="Z403" s="1"/>
      <c r="AA403" s="1"/>
    </row>
    <row r="404" spans="1:27" ht="14.4" x14ac:dyDescent="0.3">
      <c r="A404" s="1"/>
      <c r="B404" s="1"/>
      <c r="C404" s="1"/>
      <c r="D404" s="13">
        <v>62140</v>
      </c>
      <c r="E404" s="1" t="s">
        <v>316</v>
      </c>
      <c r="F404" s="14">
        <v>29282</v>
      </c>
      <c r="G404" s="14">
        <v>63296</v>
      </c>
      <c r="H404" s="14">
        <v>114084</v>
      </c>
      <c r="I404" s="14">
        <v>133884</v>
      </c>
      <c r="J404" s="14">
        <v>162882</v>
      </c>
      <c r="K404" s="14">
        <v>187575</v>
      </c>
      <c r="L404" s="14">
        <v>206270</v>
      </c>
      <c r="M404" s="14">
        <v>235692</v>
      </c>
      <c r="N404" s="14">
        <v>269321</v>
      </c>
      <c r="O404" s="14">
        <v>293454</v>
      </c>
      <c r="P404" s="14">
        <v>317347</v>
      </c>
      <c r="Q404" s="14">
        <v>362060</v>
      </c>
      <c r="R404" s="15">
        <v>0.01</v>
      </c>
      <c r="S404" s="11">
        <f t="shared" si="10"/>
        <v>1513622.6300000001</v>
      </c>
      <c r="T404" s="1" t="str">
        <f t="shared" si="11"/>
        <v>NO</v>
      </c>
      <c r="U404" s="15">
        <v>0.75</v>
      </c>
      <c r="V404" s="11">
        <f t="shared" si="16"/>
        <v>1135216.9725000001</v>
      </c>
      <c r="W404" s="1" t="str">
        <f t="shared" si="17"/>
        <v>No</v>
      </c>
      <c r="X404" s="1"/>
      <c r="Y404" s="1"/>
      <c r="Z404" s="1"/>
      <c r="AA404" s="1"/>
    </row>
    <row r="405" spans="1:27" ht="14.4" x14ac:dyDescent="0.3">
      <c r="A405" s="1"/>
      <c r="B405" s="1"/>
      <c r="C405" s="1"/>
      <c r="D405" s="13">
        <v>62210</v>
      </c>
      <c r="E405" s="1" t="s">
        <v>317</v>
      </c>
      <c r="F405" s="14">
        <v>18169</v>
      </c>
      <c r="G405" s="14">
        <v>20694</v>
      </c>
      <c r="H405" s="14">
        <v>50844</v>
      </c>
      <c r="I405" s="14">
        <v>52554</v>
      </c>
      <c r="J405" s="14">
        <v>65452</v>
      </c>
      <c r="K405" s="14">
        <v>117085</v>
      </c>
      <c r="L405" s="14">
        <v>121531</v>
      </c>
      <c r="M405" s="14">
        <v>125431</v>
      </c>
      <c r="N405" s="14">
        <v>188987</v>
      </c>
      <c r="O405" s="14">
        <v>209273</v>
      </c>
      <c r="P405" s="14">
        <v>212903</v>
      </c>
      <c r="Q405" s="14">
        <v>294666</v>
      </c>
      <c r="R405" s="15">
        <v>0.01</v>
      </c>
      <c r="S405" s="11">
        <f t="shared" si="10"/>
        <v>1513622.6300000001</v>
      </c>
      <c r="T405" s="1" t="str">
        <f t="shared" si="11"/>
        <v>NO</v>
      </c>
      <c r="U405" s="15">
        <v>0.75</v>
      </c>
      <c r="V405" s="11">
        <f t="shared" si="16"/>
        <v>1135216.9725000001</v>
      </c>
      <c r="W405" s="1" t="str">
        <f t="shared" si="17"/>
        <v>No</v>
      </c>
      <c r="X405" s="1"/>
      <c r="Y405" s="1"/>
      <c r="Z405" s="1"/>
      <c r="AA405" s="1"/>
    </row>
    <row r="406" spans="1:27" ht="14.4" x14ac:dyDescent="0.3">
      <c r="A406" s="1"/>
      <c r="B406" s="1"/>
      <c r="C406" s="1"/>
      <c r="D406" s="13">
        <v>62220</v>
      </c>
      <c r="E406" s="1" t="s">
        <v>317</v>
      </c>
      <c r="F406" s="14">
        <v>2281</v>
      </c>
      <c r="G406" s="14">
        <v>41388</v>
      </c>
      <c r="H406" s="14">
        <v>50468</v>
      </c>
      <c r="I406" s="14">
        <v>59749</v>
      </c>
      <c r="J406" s="14">
        <v>68197</v>
      </c>
      <c r="K406" s="14">
        <v>93860</v>
      </c>
      <c r="L406" s="14">
        <v>117469</v>
      </c>
      <c r="M406" s="14">
        <v>136922</v>
      </c>
      <c r="N406" s="14">
        <v>151788</v>
      </c>
      <c r="O406" s="14">
        <v>176714</v>
      </c>
      <c r="P406" s="14">
        <v>185636</v>
      </c>
      <c r="Q406" s="14">
        <v>204782</v>
      </c>
      <c r="R406" s="15">
        <v>0.01</v>
      </c>
      <c r="S406" s="11">
        <f t="shared" si="10"/>
        <v>1513622.6300000001</v>
      </c>
      <c r="T406" s="1" t="str">
        <f t="shared" si="11"/>
        <v>NO</v>
      </c>
      <c r="U406" s="15">
        <v>0.75</v>
      </c>
      <c r="V406" s="11">
        <f t="shared" si="16"/>
        <v>1135216.9725000001</v>
      </c>
      <c r="W406" s="1" t="str">
        <f t="shared" si="17"/>
        <v>No</v>
      </c>
      <c r="X406" s="1"/>
      <c r="Y406" s="1"/>
      <c r="Z406" s="1"/>
      <c r="AA406" s="1"/>
    </row>
    <row r="407" spans="1:27" ht="14.4" x14ac:dyDescent="0.3">
      <c r="A407" s="1"/>
      <c r="B407" s="1"/>
      <c r="C407" s="1"/>
      <c r="D407" s="13">
        <v>62230</v>
      </c>
      <c r="E407" s="1" t="s">
        <v>317</v>
      </c>
      <c r="F407" s="14">
        <v>13571</v>
      </c>
      <c r="G407" s="14">
        <v>19288</v>
      </c>
      <c r="H407" s="14">
        <v>40520</v>
      </c>
      <c r="I407" s="14">
        <v>92944</v>
      </c>
      <c r="J407" s="14">
        <v>129357</v>
      </c>
      <c r="K407" s="14">
        <v>155827</v>
      </c>
      <c r="L407" s="14">
        <v>191477</v>
      </c>
      <c r="M407" s="14">
        <v>222602</v>
      </c>
      <c r="N407" s="14">
        <v>225977</v>
      </c>
      <c r="O407" s="14">
        <v>255339</v>
      </c>
      <c r="P407" s="14">
        <v>260122</v>
      </c>
      <c r="Q407" s="14">
        <v>271868</v>
      </c>
      <c r="R407" s="15">
        <v>0.01</v>
      </c>
      <c r="S407" s="11">
        <f t="shared" si="10"/>
        <v>1513622.6300000001</v>
      </c>
      <c r="T407" s="1" t="str">
        <f t="shared" si="11"/>
        <v>NO</v>
      </c>
      <c r="U407" s="15">
        <v>0.75</v>
      </c>
      <c r="V407" s="11">
        <f t="shared" si="16"/>
        <v>1135216.9725000001</v>
      </c>
      <c r="W407" s="1" t="str">
        <f t="shared" si="17"/>
        <v>No</v>
      </c>
      <c r="X407" s="1"/>
      <c r="Y407" s="1"/>
      <c r="Z407" s="1"/>
      <c r="AA407" s="1"/>
    </row>
    <row r="408" spans="1:27" ht="14.4" x14ac:dyDescent="0.3">
      <c r="A408" s="1"/>
      <c r="B408" s="1"/>
      <c r="C408" s="1"/>
      <c r="D408" s="13">
        <v>62240</v>
      </c>
      <c r="E408" s="1" t="s">
        <v>317</v>
      </c>
      <c r="F408" s="14">
        <v>5623</v>
      </c>
      <c r="G408" s="14">
        <v>11170</v>
      </c>
      <c r="H408" s="14">
        <v>12963</v>
      </c>
      <c r="I408" s="14">
        <v>13857</v>
      </c>
      <c r="J408" s="14">
        <v>17341</v>
      </c>
      <c r="K408" s="14">
        <v>19423</v>
      </c>
      <c r="L408" s="14">
        <v>19423</v>
      </c>
      <c r="M408" s="14">
        <v>19423</v>
      </c>
      <c r="N408" s="14">
        <v>19658</v>
      </c>
      <c r="O408" s="14">
        <v>19888</v>
      </c>
      <c r="P408" s="14">
        <v>21316</v>
      </c>
      <c r="Q408" s="14">
        <v>29118</v>
      </c>
      <c r="R408" s="15">
        <v>0.01</v>
      </c>
      <c r="S408" s="11">
        <f t="shared" si="10"/>
        <v>1513622.6300000001</v>
      </c>
      <c r="T408" s="1" t="str">
        <f t="shared" si="11"/>
        <v>NO</v>
      </c>
      <c r="U408" s="15">
        <v>0.75</v>
      </c>
      <c r="V408" s="11">
        <f t="shared" si="16"/>
        <v>1135216.9725000001</v>
      </c>
      <c r="W408" s="1" t="str">
        <f t="shared" si="17"/>
        <v>No</v>
      </c>
      <c r="X408" s="1"/>
      <c r="Y408" s="1"/>
      <c r="Z408" s="1"/>
      <c r="AA408" s="1"/>
    </row>
    <row r="409" spans="1:27" ht="14.4" x14ac:dyDescent="0.3">
      <c r="A409" s="1"/>
      <c r="B409" s="1"/>
      <c r="C409" s="1"/>
      <c r="D409" s="13">
        <v>62250</v>
      </c>
      <c r="E409" s="1" t="s">
        <v>317</v>
      </c>
      <c r="F409" s="14">
        <v>1313</v>
      </c>
      <c r="G409" s="14">
        <v>2312</v>
      </c>
      <c r="H409" s="14">
        <v>3148</v>
      </c>
      <c r="I409" s="14">
        <v>4562</v>
      </c>
      <c r="J409" s="14">
        <v>5778</v>
      </c>
      <c r="K409" s="14">
        <v>7109</v>
      </c>
      <c r="L409" s="14">
        <v>7171</v>
      </c>
      <c r="M409" s="14">
        <v>8712</v>
      </c>
      <c r="N409" s="14">
        <v>10037</v>
      </c>
      <c r="O409" s="14">
        <v>37046</v>
      </c>
      <c r="P409" s="14">
        <v>44065</v>
      </c>
      <c r="Q409" s="14">
        <v>46020</v>
      </c>
      <c r="R409" s="15">
        <v>0.01</v>
      </c>
      <c r="S409" s="11">
        <f t="shared" si="10"/>
        <v>1513622.6300000001</v>
      </c>
      <c r="T409" s="1" t="str">
        <f t="shared" si="11"/>
        <v>NO</v>
      </c>
      <c r="U409" s="15">
        <v>0.75</v>
      </c>
      <c r="V409" s="11">
        <f t="shared" si="16"/>
        <v>1135216.9725000001</v>
      </c>
      <c r="W409" s="1" t="str">
        <f t="shared" si="17"/>
        <v>No</v>
      </c>
      <c r="X409" s="1"/>
      <c r="Y409" s="1"/>
      <c r="Z409" s="1"/>
      <c r="AA409" s="1"/>
    </row>
    <row r="410" spans="1:27" ht="14.4" x14ac:dyDescent="0.3">
      <c r="A410" s="1"/>
      <c r="B410" s="1"/>
      <c r="C410" s="1"/>
      <c r="D410" s="13">
        <v>62260</v>
      </c>
      <c r="E410" s="1" t="s">
        <v>317</v>
      </c>
      <c r="F410" s="1"/>
      <c r="G410" s="1"/>
      <c r="H410" s="1"/>
      <c r="I410" s="13">
        <v>361</v>
      </c>
      <c r="J410" s="13">
        <v>361</v>
      </c>
      <c r="K410" s="13">
        <v>361</v>
      </c>
      <c r="L410" s="13">
        <v>361</v>
      </c>
      <c r="M410" s="13">
        <v>361</v>
      </c>
      <c r="N410" s="14">
        <v>2672</v>
      </c>
      <c r="O410" s="14">
        <v>3037</v>
      </c>
      <c r="P410" s="14">
        <v>3037</v>
      </c>
      <c r="Q410" s="14">
        <v>3453</v>
      </c>
      <c r="R410" s="15">
        <v>0.01</v>
      </c>
      <c r="S410" s="11">
        <f t="shared" si="10"/>
        <v>1513622.6300000001</v>
      </c>
      <c r="T410" s="1" t="str">
        <f t="shared" si="11"/>
        <v>NO</v>
      </c>
      <c r="U410" s="15">
        <v>0.75</v>
      </c>
      <c r="V410" s="11">
        <f t="shared" si="16"/>
        <v>1135216.9725000001</v>
      </c>
      <c r="W410" s="1" t="str">
        <f t="shared" si="17"/>
        <v>No</v>
      </c>
      <c r="X410" s="1"/>
      <c r="Y410" s="1"/>
      <c r="Z410" s="1"/>
      <c r="AA410" s="1"/>
    </row>
    <row r="411" spans="1:27" ht="14.4" x14ac:dyDescent="0.3">
      <c r="A411" s="1"/>
      <c r="B411" s="1"/>
      <c r="C411" s="1"/>
      <c r="D411" s="13">
        <v>62270</v>
      </c>
      <c r="E411" s="1" t="s">
        <v>317</v>
      </c>
      <c r="F411" s="14">
        <v>3768</v>
      </c>
      <c r="G411" s="14">
        <v>254364</v>
      </c>
      <c r="H411" s="14">
        <v>260959</v>
      </c>
      <c r="I411" s="14">
        <v>268836</v>
      </c>
      <c r="J411" s="14">
        <v>279407</v>
      </c>
      <c r="K411" s="14">
        <v>380837</v>
      </c>
      <c r="L411" s="14">
        <v>398867</v>
      </c>
      <c r="M411" s="14">
        <v>400250</v>
      </c>
      <c r="N411" s="14">
        <v>407036</v>
      </c>
      <c r="O411" s="14">
        <v>461598</v>
      </c>
      <c r="P411" s="14">
        <v>463626</v>
      </c>
      <c r="Q411" s="14">
        <v>478494</v>
      </c>
      <c r="R411" s="15">
        <v>0.01</v>
      </c>
      <c r="S411" s="11">
        <f t="shared" si="10"/>
        <v>1513622.6300000001</v>
      </c>
      <c r="T411" s="1" t="str">
        <f t="shared" si="11"/>
        <v>NO</v>
      </c>
      <c r="U411" s="15">
        <v>0.75</v>
      </c>
      <c r="V411" s="11">
        <f t="shared" si="16"/>
        <v>1135216.9725000001</v>
      </c>
      <c r="W411" s="1" t="str">
        <f t="shared" si="17"/>
        <v>No</v>
      </c>
      <c r="X411" s="1"/>
      <c r="Y411" s="1"/>
      <c r="Z411" s="1"/>
      <c r="AA411" s="1"/>
    </row>
    <row r="412" spans="1:27" ht="14.4" x14ac:dyDescent="0.3">
      <c r="A412" s="1"/>
      <c r="B412" s="1"/>
      <c r="C412" s="1"/>
      <c r="D412" s="13">
        <v>62300</v>
      </c>
      <c r="E412" s="1" t="s">
        <v>318</v>
      </c>
      <c r="F412" s="14">
        <v>64739</v>
      </c>
      <c r="G412" s="14">
        <v>99532</v>
      </c>
      <c r="H412" s="14">
        <v>243643</v>
      </c>
      <c r="I412" s="14">
        <v>346675</v>
      </c>
      <c r="J412" s="14">
        <v>505860</v>
      </c>
      <c r="K412" s="14">
        <v>610602</v>
      </c>
      <c r="L412" s="14">
        <v>665077</v>
      </c>
      <c r="M412" s="14">
        <v>672456</v>
      </c>
      <c r="N412" s="14">
        <v>711581</v>
      </c>
      <c r="O412" s="14">
        <v>761921</v>
      </c>
      <c r="P412" s="14">
        <v>827395</v>
      </c>
      <c r="Q412" s="14">
        <v>983573</v>
      </c>
      <c r="R412" s="15">
        <v>0.01</v>
      </c>
      <c r="S412" s="11">
        <f t="shared" si="10"/>
        <v>1513622.6300000001</v>
      </c>
      <c r="T412" s="1" t="str">
        <f t="shared" si="11"/>
        <v>NO</v>
      </c>
      <c r="U412" s="15">
        <v>0.75</v>
      </c>
      <c r="V412" s="11">
        <f t="shared" si="16"/>
        <v>1135216.9725000001</v>
      </c>
      <c r="W412" s="1" t="str">
        <f t="shared" si="17"/>
        <v>No</v>
      </c>
      <c r="X412" s="1"/>
      <c r="Y412" s="1"/>
      <c r="Z412" s="1"/>
      <c r="AA412" s="1"/>
    </row>
    <row r="413" spans="1:27" ht="14.4" x14ac:dyDescent="0.3">
      <c r="A413" s="1"/>
      <c r="B413" s="1"/>
      <c r="C413" s="1"/>
      <c r="D413" s="13">
        <v>62310</v>
      </c>
      <c r="E413" s="1" t="s">
        <v>319</v>
      </c>
      <c r="F413" s="1"/>
      <c r="G413" s="14">
        <v>9377</v>
      </c>
      <c r="H413" s="14">
        <v>9377</v>
      </c>
      <c r="I413" s="14">
        <v>9377</v>
      </c>
      <c r="J413" s="14">
        <v>9377</v>
      </c>
      <c r="K413" s="14">
        <v>9377</v>
      </c>
      <c r="L413" s="14">
        <v>9377</v>
      </c>
      <c r="M413" s="14">
        <v>9377</v>
      </c>
      <c r="N413" s="14">
        <v>9377</v>
      </c>
      <c r="O413" s="14">
        <v>9377</v>
      </c>
      <c r="P413" s="14">
        <v>9377</v>
      </c>
      <c r="Q413" s="14">
        <v>9377</v>
      </c>
      <c r="R413" s="15">
        <v>0.01</v>
      </c>
      <c r="S413" s="11">
        <f t="shared" si="10"/>
        <v>1513622.6300000001</v>
      </c>
      <c r="T413" s="1" t="str">
        <f t="shared" si="11"/>
        <v>NO</v>
      </c>
      <c r="U413" s="15">
        <v>0.75</v>
      </c>
      <c r="V413" s="11">
        <f t="shared" si="16"/>
        <v>1135216.9725000001</v>
      </c>
      <c r="W413" s="1" t="str">
        <f t="shared" si="17"/>
        <v>No</v>
      </c>
      <c r="X413" s="1"/>
      <c r="Y413" s="1"/>
      <c r="Z413" s="1"/>
      <c r="AA413" s="1"/>
    </row>
    <row r="414" spans="1:27" ht="14.4" x14ac:dyDescent="0.3">
      <c r="A414" s="1"/>
      <c r="B414" s="1"/>
      <c r="C414" s="1"/>
      <c r="D414" s="13">
        <v>62320</v>
      </c>
      <c r="E414" s="1" t="s">
        <v>320</v>
      </c>
      <c r="F414" s="14">
        <v>97856</v>
      </c>
      <c r="G414" s="14">
        <v>111485</v>
      </c>
      <c r="H414" s="14">
        <v>203186</v>
      </c>
      <c r="I414" s="14">
        <v>298430</v>
      </c>
      <c r="J414" s="14">
        <v>330280</v>
      </c>
      <c r="K414" s="14">
        <v>429227</v>
      </c>
      <c r="L414" s="14">
        <v>442032</v>
      </c>
      <c r="M414" s="14">
        <v>474578</v>
      </c>
      <c r="N414" s="14">
        <v>441965</v>
      </c>
      <c r="O414" s="14">
        <v>681847</v>
      </c>
      <c r="P414" s="14">
        <v>840831</v>
      </c>
      <c r="Q414" s="14">
        <v>1038450</v>
      </c>
      <c r="R414" s="15">
        <v>0.01</v>
      </c>
      <c r="S414" s="11">
        <f t="shared" si="10"/>
        <v>1513622.6300000001</v>
      </c>
      <c r="T414" s="1" t="str">
        <f t="shared" si="11"/>
        <v>NO</v>
      </c>
      <c r="U414" s="15">
        <v>0.75</v>
      </c>
      <c r="V414" s="11">
        <f t="shared" si="16"/>
        <v>1135216.9725000001</v>
      </c>
      <c r="W414" s="1" t="str">
        <f t="shared" si="17"/>
        <v>No</v>
      </c>
      <c r="X414" s="1"/>
      <c r="Y414" s="1"/>
      <c r="Z414" s="1"/>
      <c r="AA414" s="1"/>
    </row>
    <row r="415" spans="1:27" ht="14.4" x14ac:dyDescent="0.3">
      <c r="A415" s="1"/>
      <c r="B415" s="1"/>
      <c r="C415" s="1"/>
      <c r="D415" s="13">
        <v>62400</v>
      </c>
      <c r="E415" s="1" t="s">
        <v>297</v>
      </c>
      <c r="F415" s="14">
        <v>74322</v>
      </c>
      <c r="G415" s="14">
        <v>146872</v>
      </c>
      <c r="H415" s="14">
        <v>226232</v>
      </c>
      <c r="I415" s="14">
        <v>305491</v>
      </c>
      <c r="J415" s="14">
        <v>382073</v>
      </c>
      <c r="K415" s="14">
        <v>473067</v>
      </c>
      <c r="L415" s="14">
        <v>566198</v>
      </c>
      <c r="M415" s="14">
        <v>658558</v>
      </c>
      <c r="N415" s="14">
        <v>768405</v>
      </c>
      <c r="O415" s="14">
        <v>928554</v>
      </c>
      <c r="P415" s="14">
        <v>1067078</v>
      </c>
      <c r="Q415" s="14">
        <v>1262200</v>
      </c>
      <c r="R415" s="15">
        <v>0.01</v>
      </c>
      <c r="S415" s="11">
        <f t="shared" si="10"/>
        <v>1513622.6300000001</v>
      </c>
      <c r="T415" s="1" t="str">
        <f t="shared" si="11"/>
        <v>NO</v>
      </c>
      <c r="U415" s="15">
        <v>0.75</v>
      </c>
      <c r="V415" s="11">
        <f t="shared" si="16"/>
        <v>1135216.9725000001</v>
      </c>
      <c r="W415" s="1" t="str">
        <f t="shared" si="17"/>
        <v>Yes</v>
      </c>
      <c r="X415" s="1"/>
      <c r="Y415" s="1"/>
      <c r="Z415" s="1"/>
      <c r="AA415" s="1"/>
    </row>
    <row r="416" spans="1:27" ht="14.4" x14ac:dyDescent="0.3">
      <c r="A416" s="1"/>
      <c r="B416" s="1"/>
      <c r="C416" s="1"/>
      <c r="D416" s="13">
        <v>62500</v>
      </c>
      <c r="E416" s="1" t="s">
        <v>321</v>
      </c>
      <c r="F416" s="14">
        <v>36681</v>
      </c>
      <c r="G416" s="14">
        <v>86155</v>
      </c>
      <c r="H416" s="14">
        <v>149503</v>
      </c>
      <c r="I416" s="14">
        <v>248913</v>
      </c>
      <c r="J416" s="14">
        <v>296160</v>
      </c>
      <c r="K416" s="14">
        <v>382308</v>
      </c>
      <c r="L416" s="14">
        <v>448338</v>
      </c>
      <c r="M416" s="14">
        <v>521217</v>
      </c>
      <c r="N416" s="14">
        <v>588643</v>
      </c>
      <c r="O416" s="14">
        <v>674061</v>
      </c>
      <c r="P416" s="14">
        <v>734260</v>
      </c>
      <c r="Q416" s="14">
        <v>792702</v>
      </c>
      <c r="R416" s="15">
        <v>0.01</v>
      </c>
      <c r="S416" s="11">
        <f t="shared" si="10"/>
        <v>1513622.6300000001</v>
      </c>
      <c r="T416" s="1" t="str">
        <f t="shared" si="11"/>
        <v>NO</v>
      </c>
      <c r="U416" s="15">
        <v>0.75</v>
      </c>
      <c r="V416" s="11">
        <f t="shared" si="16"/>
        <v>1135216.9725000001</v>
      </c>
      <c r="W416" s="1" t="str">
        <f t="shared" si="17"/>
        <v>No</v>
      </c>
      <c r="X416" s="1"/>
      <c r="Y416" s="1"/>
      <c r="Z416" s="1"/>
      <c r="AA416" s="1"/>
    </row>
    <row r="417" spans="1:27" ht="14.4" x14ac:dyDescent="0.3">
      <c r="A417" s="1"/>
      <c r="B417" s="1"/>
      <c r="C417" s="1"/>
      <c r="D417" s="13">
        <v>62510</v>
      </c>
      <c r="E417" s="1" t="s">
        <v>321</v>
      </c>
      <c r="F417" s="14">
        <v>30203</v>
      </c>
      <c r="G417" s="14">
        <v>82238</v>
      </c>
      <c r="H417" s="14">
        <v>110597</v>
      </c>
      <c r="I417" s="14">
        <v>175899</v>
      </c>
      <c r="J417" s="14">
        <v>210322</v>
      </c>
      <c r="K417" s="14">
        <v>231601</v>
      </c>
      <c r="L417" s="14">
        <v>270256</v>
      </c>
      <c r="M417" s="14">
        <v>308461</v>
      </c>
      <c r="N417" s="14">
        <v>371614</v>
      </c>
      <c r="O417" s="14">
        <v>422251</v>
      </c>
      <c r="P417" s="14">
        <v>450674</v>
      </c>
      <c r="Q417" s="14">
        <v>497877</v>
      </c>
      <c r="R417" s="15">
        <v>0.01</v>
      </c>
      <c r="S417" s="11">
        <f t="shared" si="10"/>
        <v>1513622.6300000001</v>
      </c>
      <c r="T417" s="1" t="str">
        <f t="shared" si="11"/>
        <v>NO</v>
      </c>
      <c r="U417" s="15">
        <v>0.75</v>
      </c>
      <c r="V417" s="11">
        <f t="shared" si="16"/>
        <v>1135216.9725000001</v>
      </c>
      <c r="W417" s="1" t="str">
        <f t="shared" si="17"/>
        <v>No</v>
      </c>
      <c r="X417" s="1"/>
      <c r="Y417" s="1"/>
      <c r="Z417" s="1"/>
      <c r="AA417" s="1"/>
    </row>
    <row r="418" spans="1:27" ht="14.4" x14ac:dyDescent="0.3">
      <c r="A418" s="1"/>
      <c r="B418" s="1"/>
      <c r="C418" s="1"/>
      <c r="D418" s="13">
        <v>62511</v>
      </c>
      <c r="E418" s="1" t="s">
        <v>321</v>
      </c>
      <c r="F418" s="14">
        <v>9811</v>
      </c>
      <c r="G418" s="14">
        <v>22524</v>
      </c>
      <c r="H418" s="14">
        <v>34229</v>
      </c>
      <c r="I418" s="14">
        <v>56520</v>
      </c>
      <c r="J418" s="14">
        <v>69373</v>
      </c>
      <c r="K418" s="14">
        <v>88933</v>
      </c>
      <c r="L418" s="14">
        <v>103661</v>
      </c>
      <c r="M418" s="14">
        <v>180980</v>
      </c>
      <c r="N418" s="14">
        <v>119428</v>
      </c>
      <c r="O418" s="14">
        <v>124331</v>
      </c>
      <c r="P418" s="14">
        <v>147599</v>
      </c>
      <c r="Q418" s="14">
        <v>137764</v>
      </c>
      <c r="R418" s="15">
        <v>0.01</v>
      </c>
      <c r="S418" s="11">
        <f t="shared" si="10"/>
        <v>1513622.6300000001</v>
      </c>
      <c r="T418" s="1" t="str">
        <f t="shared" si="11"/>
        <v>NO</v>
      </c>
      <c r="U418" s="15">
        <v>0.75</v>
      </c>
      <c r="V418" s="11">
        <f t="shared" si="16"/>
        <v>1135216.9725000001</v>
      </c>
      <c r="W418" s="1" t="str">
        <f t="shared" si="17"/>
        <v>No</v>
      </c>
      <c r="X418" s="1"/>
      <c r="Y418" s="1"/>
      <c r="Z418" s="1"/>
      <c r="AA418" s="1"/>
    </row>
    <row r="419" spans="1:27" ht="14.4" x14ac:dyDescent="0.3">
      <c r="A419" s="1"/>
      <c r="B419" s="1"/>
      <c r="C419" s="1"/>
      <c r="D419" s="13">
        <v>62520</v>
      </c>
      <c r="E419" s="1" t="s">
        <v>321</v>
      </c>
      <c r="F419" s="1"/>
      <c r="G419" s="14">
        <v>2127</v>
      </c>
      <c r="H419" s="14">
        <v>5189</v>
      </c>
      <c r="I419" s="14">
        <v>6956</v>
      </c>
      <c r="J419" s="14">
        <v>8942</v>
      </c>
      <c r="K419" s="14">
        <v>16160</v>
      </c>
      <c r="L419" s="14">
        <v>31810</v>
      </c>
      <c r="M419" s="14">
        <v>32307</v>
      </c>
      <c r="N419" s="14">
        <v>32920</v>
      </c>
      <c r="O419" s="14">
        <v>30873</v>
      </c>
      <c r="P419" s="14">
        <v>34958</v>
      </c>
      <c r="Q419" s="14">
        <v>41104</v>
      </c>
      <c r="R419" s="15">
        <v>0.01</v>
      </c>
      <c r="S419" s="11">
        <f t="shared" si="10"/>
        <v>1513622.6300000001</v>
      </c>
      <c r="T419" s="1" t="str">
        <f t="shared" si="11"/>
        <v>NO</v>
      </c>
      <c r="U419" s="15">
        <v>0.75</v>
      </c>
      <c r="V419" s="11">
        <f t="shared" si="16"/>
        <v>1135216.9725000001</v>
      </c>
      <c r="W419" s="1" t="str">
        <f t="shared" si="17"/>
        <v>No</v>
      </c>
      <c r="X419" s="1"/>
      <c r="Y419" s="1"/>
      <c r="Z419" s="1"/>
      <c r="AA419" s="1"/>
    </row>
    <row r="420" spans="1:27" ht="14.4" x14ac:dyDescent="0.3">
      <c r="A420" s="1"/>
      <c r="B420" s="1"/>
      <c r="C420" s="1"/>
      <c r="D420" s="13">
        <v>62540</v>
      </c>
      <c r="E420" s="1" t="s">
        <v>321</v>
      </c>
      <c r="F420" s="1"/>
      <c r="G420" s="13">
        <v>371</v>
      </c>
      <c r="H420" s="13">
        <v>371</v>
      </c>
      <c r="I420" s="13">
        <v>371</v>
      </c>
      <c r="J420" s="13">
        <v>371</v>
      </c>
      <c r="K420" s="13">
        <v>371</v>
      </c>
      <c r="L420" s="13">
        <v>371</v>
      </c>
      <c r="M420" s="14">
        <v>9544</v>
      </c>
      <c r="N420" s="14">
        <v>26937</v>
      </c>
      <c r="O420" s="14">
        <v>32677</v>
      </c>
      <c r="P420" s="14">
        <v>32273</v>
      </c>
      <c r="Q420" s="14">
        <v>34671</v>
      </c>
      <c r="R420" s="15">
        <v>0.01</v>
      </c>
      <c r="S420" s="11">
        <f t="shared" si="10"/>
        <v>1513622.6300000001</v>
      </c>
      <c r="T420" s="1" t="str">
        <f t="shared" si="11"/>
        <v>NO</v>
      </c>
      <c r="U420" s="15">
        <v>0.75</v>
      </c>
      <c r="V420" s="11">
        <f t="shared" si="16"/>
        <v>1135216.9725000001</v>
      </c>
      <c r="W420" s="1" t="str">
        <f t="shared" si="17"/>
        <v>No</v>
      </c>
      <c r="X420" s="1"/>
      <c r="Y420" s="1"/>
      <c r="Z420" s="1"/>
      <c r="AA420" s="1"/>
    </row>
    <row r="421" spans="1:27" ht="14.4" x14ac:dyDescent="0.3">
      <c r="A421" s="1"/>
      <c r="B421" s="1"/>
      <c r="C421" s="1"/>
      <c r="D421" s="13">
        <v>62550</v>
      </c>
      <c r="E421" s="1" t="s">
        <v>321</v>
      </c>
      <c r="F421" s="1"/>
      <c r="G421" s="1"/>
      <c r="H421" s="1"/>
      <c r="I421" s="1"/>
      <c r="J421" s="1"/>
      <c r="K421" s="1"/>
      <c r="L421" s="13">
        <v>843</v>
      </c>
      <c r="M421" s="14">
        <v>2029</v>
      </c>
      <c r="N421" s="14">
        <v>2856</v>
      </c>
      <c r="O421" s="14">
        <v>3901</v>
      </c>
      <c r="P421" s="14">
        <v>4724</v>
      </c>
      <c r="Q421" s="14">
        <v>5340</v>
      </c>
      <c r="R421" s="15">
        <v>0.01</v>
      </c>
      <c r="S421" s="11">
        <f t="shared" si="10"/>
        <v>1513622.6300000001</v>
      </c>
      <c r="T421" s="1" t="str">
        <f t="shared" si="11"/>
        <v>NO</v>
      </c>
      <c r="U421" s="15">
        <v>0.75</v>
      </c>
      <c r="V421" s="11">
        <f t="shared" si="16"/>
        <v>1135216.9725000001</v>
      </c>
      <c r="W421" s="1" t="str">
        <f t="shared" si="17"/>
        <v>No</v>
      </c>
      <c r="X421" s="1"/>
      <c r="Y421" s="1"/>
      <c r="Z421" s="1"/>
      <c r="AA421" s="1"/>
    </row>
    <row r="422" spans="1:27" ht="14.4" x14ac:dyDescent="0.3">
      <c r="A422" s="1"/>
      <c r="B422" s="1"/>
      <c r="C422" s="1"/>
      <c r="D422" s="13">
        <v>62560</v>
      </c>
      <c r="E422" s="1" t="s">
        <v>321</v>
      </c>
      <c r="F422" s="13">
        <v>150</v>
      </c>
      <c r="G422" s="14">
        <v>4839</v>
      </c>
      <c r="H422" s="14">
        <v>5160</v>
      </c>
      <c r="I422" s="14">
        <v>5258</v>
      </c>
      <c r="J422" s="14">
        <v>9270</v>
      </c>
      <c r="K422" s="14">
        <v>9409</v>
      </c>
      <c r="L422" s="14">
        <v>13185</v>
      </c>
      <c r="M422" s="14">
        <v>22505</v>
      </c>
      <c r="N422" s="14">
        <v>33803</v>
      </c>
      <c r="O422" s="14">
        <v>43601</v>
      </c>
      <c r="P422" s="14">
        <v>65953</v>
      </c>
      <c r="Q422" s="14">
        <v>80024</v>
      </c>
      <c r="R422" s="15">
        <v>0.01</v>
      </c>
      <c r="S422" s="11">
        <f t="shared" si="10"/>
        <v>1513622.6300000001</v>
      </c>
      <c r="T422" s="1" t="str">
        <f t="shared" si="11"/>
        <v>NO</v>
      </c>
      <c r="U422" s="15">
        <v>0.75</v>
      </c>
      <c r="V422" s="11">
        <f t="shared" si="16"/>
        <v>1135216.9725000001</v>
      </c>
      <c r="W422" s="1" t="str">
        <f t="shared" si="17"/>
        <v>No</v>
      </c>
      <c r="X422" s="1"/>
      <c r="Y422" s="1"/>
      <c r="Z422" s="1"/>
      <c r="AA422" s="1"/>
    </row>
    <row r="423" spans="1:27" ht="14.4" x14ac:dyDescent="0.3">
      <c r="A423" s="1"/>
      <c r="B423" s="1"/>
      <c r="C423" s="1"/>
      <c r="D423" s="13">
        <v>62600</v>
      </c>
      <c r="E423" s="1" t="s">
        <v>322</v>
      </c>
      <c r="F423" s="14">
        <v>30220</v>
      </c>
      <c r="G423" s="14">
        <v>57456</v>
      </c>
      <c r="H423" s="14">
        <v>73397</v>
      </c>
      <c r="I423" s="14">
        <v>101941</v>
      </c>
      <c r="J423" s="14">
        <v>130410</v>
      </c>
      <c r="K423" s="14">
        <v>146356</v>
      </c>
      <c r="L423" s="14">
        <v>173467</v>
      </c>
      <c r="M423" s="14">
        <v>201957</v>
      </c>
      <c r="N423" s="14">
        <v>235783</v>
      </c>
      <c r="O423" s="14">
        <v>261339</v>
      </c>
      <c r="P423" s="14">
        <v>281739</v>
      </c>
      <c r="Q423" s="14">
        <v>315461</v>
      </c>
      <c r="R423" s="15">
        <v>0.01</v>
      </c>
      <c r="S423" s="11">
        <f t="shared" si="10"/>
        <v>1513622.6300000001</v>
      </c>
      <c r="T423" s="1" t="str">
        <f t="shared" si="11"/>
        <v>NO</v>
      </c>
      <c r="U423" s="15">
        <v>0.75</v>
      </c>
      <c r="V423" s="11">
        <f t="shared" si="16"/>
        <v>1135216.9725000001</v>
      </c>
      <c r="W423" s="1" t="str">
        <f t="shared" si="17"/>
        <v>No</v>
      </c>
      <c r="X423" s="1"/>
      <c r="Y423" s="1"/>
      <c r="Z423" s="1"/>
      <c r="AA423" s="1"/>
    </row>
    <row r="424" spans="1:27" ht="14.4" x14ac:dyDescent="0.3">
      <c r="A424" s="1"/>
      <c r="B424" s="1"/>
      <c r="C424" s="1"/>
      <c r="D424" s="13">
        <v>62710</v>
      </c>
      <c r="E424" s="1" t="s">
        <v>259</v>
      </c>
      <c r="F424" s="14">
        <v>121112</v>
      </c>
      <c r="G424" s="14">
        <v>392074</v>
      </c>
      <c r="H424" s="14">
        <v>589873</v>
      </c>
      <c r="I424" s="14">
        <v>784951</v>
      </c>
      <c r="J424" s="14">
        <v>1047974</v>
      </c>
      <c r="K424" s="14">
        <v>1241001</v>
      </c>
      <c r="L424" s="14">
        <v>1470401</v>
      </c>
      <c r="M424" s="14">
        <v>1678876</v>
      </c>
      <c r="N424" s="14">
        <v>1944193</v>
      </c>
      <c r="O424" s="14">
        <v>2236033</v>
      </c>
      <c r="P424" s="14">
        <v>2432619</v>
      </c>
      <c r="Q424" s="14">
        <v>2586648</v>
      </c>
      <c r="R424" s="15">
        <v>0.01</v>
      </c>
      <c r="S424" s="11">
        <f t="shared" si="10"/>
        <v>1513622.6300000001</v>
      </c>
      <c r="T424" s="1" t="str">
        <f t="shared" si="11"/>
        <v>YES</v>
      </c>
      <c r="U424" s="15">
        <v>0.75</v>
      </c>
      <c r="V424" s="11">
        <f t="shared" si="16"/>
        <v>1135216.9725000001</v>
      </c>
      <c r="W424" s="1" t="str">
        <f t="shared" si="17"/>
        <v>Yes</v>
      </c>
      <c r="X424" s="1"/>
      <c r="Y424" s="1"/>
      <c r="Z424" s="1"/>
      <c r="AA424" s="1"/>
    </row>
    <row r="425" spans="1:27" ht="14.4" x14ac:dyDescent="0.3">
      <c r="A425" s="1"/>
      <c r="B425" s="1"/>
      <c r="C425" s="1"/>
      <c r="D425" s="13">
        <v>62715</v>
      </c>
      <c r="E425" s="1" t="s">
        <v>260</v>
      </c>
      <c r="F425" s="14">
        <v>83547</v>
      </c>
      <c r="G425" s="14">
        <v>199031</v>
      </c>
      <c r="H425" s="14">
        <v>278889</v>
      </c>
      <c r="I425" s="14">
        <v>397643</v>
      </c>
      <c r="J425" s="14">
        <v>513589</v>
      </c>
      <c r="K425" s="14">
        <v>607073</v>
      </c>
      <c r="L425" s="14">
        <v>711593</v>
      </c>
      <c r="M425" s="14">
        <v>824717</v>
      </c>
      <c r="N425" s="14">
        <v>957573</v>
      </c>
      <c r="O425" s="14">
        <v>1123704</v>
      </c>
      <c r="P425" s="14">
        <v>1242986</v>
      </c>
      <c r="Q425" s="14">
        <v>1359970</v>
      </c>
      <c r="R425" s="15">
        <v>0.01</v>
      </c>
      <c r="S425" s="11">
        <f t="shared" si="10"/>
        <v>1513622.6300000001</v>
      </c>
      <c r="T425" s="1" t="str">
        <f t="shared" si="11"/>
        <v>NO</v>
      </c>
      <c r="U425" s="15">
        <v>0.75</v>
      </c>
      <c r="V425" s="11">
        <f t="shared" si="16"/>
        <v>1135216.9725000001</v>
      </c>
      <c r="W425" s="1" t="str">
        <f t="shared" si="17"/>
        <v>Yes</v>
      </c>
      <c r="X425" s="1"/>
      <c r="Y425" s="1"/>
      <c r="Z425" s="1"/>
      <c r="AA425" s="1"/>
    </row>
    <row r="426" spans="1:27" ht="14.4" x14ac:dyDescent="0.3">
      <c r="A426" s="1"/>
      <c r="B426" s="1"/>
      <c r="C426" s="1"/>
      <c r="D426" s="13">
        <v>62720</v>
      </c>
      <c r="E426" s="1" t="s">
        <v>261</v>
      </c>
      <c r="F426" s="14">
        <v>41378</v>
      </c>
      <c r="G426" s="14">
        <v>93143</v>
      </c>
      <c r="H426" s="14">
        <v>144751</v>
      </c>
      <c r="I426" s="14">
        <v>205406</v>
      </c>
      <c r="J426" s="14">
        <v>256889</v>
      </c>
      <c r="K426" s="14">
        <v>313242</v>
      </c>
      <c r="L426" s="14">
        <v>371300</v>
      </c>
      <c r="M426" s="14">
        <v>439493</v>
      </c>
      <c r="N426" s="14">
        <v>500777</v>
      </c>
      <c r="O426" s="14">
        <v>581543</v>
      </c>
      <c r="P426" s="14">
        <v>643573</v>
      </c>
      <c r="Q426" s="14">
        <v>708398</v>
      </c>
      <c r="R426" s="15">
        <v>0.01</v>
      </c>
      <c r="S426" s="11">
        <f t="shared" si="10"/>
        <v>1513622.6300000001</v>
      </c>
      <c r="T426" s="1" t="str">
        <f t="shared" si="11"/>
        <v>NO</v>
      </c>
      <c r="U426" s="15">
        <v>0.75</v>
      </c>
      <c r="V426" s="11">
        <f t="shared" si="16"/>
        <v>1135216.9725000001</v>
      </c>
      <c r="W426" s="1" t="str">
        <f t="shared" si="17"/>
        <v>No</v>
      </c>
      <c r="X426" s="1"/>
      <c r="Y426" s="1"/>
      <c r="Z426" s="1"/>
      <c r="AA426" s="1"/>
    </row>
    <row r="427" spans="1:27" ht="14.4" x14ac:dyDescent="0.3">
      <c r="A427" s="1"/>
      <c r="B427" s="1"/>
      <c r="C427" s="1"/>
      <c r="D427" s="13">
        <v>62730</v>
      </c>
      <c r="E427" s="1" t="s">
        <v>262</v>
      </c>
      <c r="F427" s="14">
        <v>56214</v>
      </c>
      <c r="G427" s="14">
        <v>113450</v>
      </c>
      <c r="H427" s="14">
        <v>170797</v>
      </c>
      <c r="I427" s="14">
        <v>229715</v>
      </c>
      <c r="J427" s="14">
        <v>286390</v>
      </c>
      <c r="K427" s="14">
        <v>344577</v>
      </c>
      <c r="L427" s="14">
        <v>404598</v>
      </c>
      <c r="M427" s="14">
        <v>462490</v>
      </c>
      <c r="N427" s="14">
        <v>523661</v>
      </c>
      <c r="O427" s="14">
        <v>587882</v>
      </c>
      <c r="P427" s="14">
        <v>655300</v>
      </c>
      <c r="Q427" s="14">
        <v>727821</v>
      </c>
      <c r="R427" s="15">
        <v>0.01</v>
      </c>
      <c r="S427" s="11">
        <f t="shared" si="10"/>
        <v>1513622.6300000001</v>
      </c>
      <c r="T427" s="1" t="str">
        <f t="shared" si="11"/>
        <v>NO</v>
      </c>
      <c r="U427" s="15">
        <v>0.75</v>
      </c>
      <c r="V427" s="11">
        <f t="shared" si="16"/>
        <v>1135216.9725000001</v>
      </c>
      <c r="W427" s="1" t="str">
        <f t="shared" si="17"/>
        <v>No</v>
      </c>
      <c r="X427" s="1"/>
      <c r="Y427" s="1"/>
      <c r="Z427" s="1"/>
      <c r="AA427" s="1"/>
    </row>
    <row r="428" spans="1:27" ht="14.4" x14ac:dyDescent="0.3">
      <c r="A428" s="1"/>
      <c r="B428" s="1"/>
      <c r="C428" s="1"/>
      <c r="D428" s="13">
        <v>62740</v>
      </c>
      <c r="E428" s="1" t="s">
        <v>263</v>
      </c>
      <c r="F428" s="14">
        <v>83500</v>
      </c>
      <c r="G428" s="14">
        <v>181169</v>
      </c>
      <c r="H428" s="14">
        <v>256567</v>
      </c>
      <c r="I428" s="14">
        <v>369133</v>
      </c>
      <c r="J428" s="14">
        <v>461377</v>
      </c>
      <c r="K428" s="14">
        <v>542579</v>
      </c>
      <c r="L428" s="14">
        <v>643496</v>
      </c>
      <c r="M428" s="14">
        <v>739613</v>
      </c>
      <c r="N428" s="14">
        <v>872624</v>
      </c>
      <c r="O428" s="14">
        <v>1039125</v>
      </c>
      <c r="P428" s="14">
        <v>1154221</v>
      </c>
      <c r="Q428" s="14">
        <v>1384783</v>
      </c>
      <c r="R428" s="15">
        <v>0.01</v>
      </c>
      <c r="S428" s="11">
        <f t="shared" si="10"/>
        <v>1513622.6300000001</v>
      </c>
      <c r="T428" s="1" t="str">
        <f t="shared" si="11"/>
        <v>NO</v>
      </c>
      <c r="U428" s="15">
        <v>0.75</v>
      </c>
      <c r="V428" s="11">
        <f t="shared" si="16"/>
        <v>1135216.9725000001</v>
      </c>
      <c r="W428" s="1" t="str">
        <f t="shared" si="17"/>
        <v>Yes</v>
      </c>
      <c r="X428" s="1"/>
      <c r="Y428" s="1"/>
      <c r="Z428" s="1"/>
      <c r="AA428" s="1"/>
    </row>
    <row r="429" spans="1:27" ht="14.4" x14ac:dyDescent="0.3">
      <c r="A429" s="1"/>
      <c r="B429" s="1"/>
      <c r="C429" s="1"/>
      <c r="D429" s="13">
        <v>62750</v>
      </c>
      <c r="E429" s="1" t="s">
        <v>264</v>
      </c>
      <c r="F429" s="14">
        <v>30509</v>
      </c>
      <c r="G429" s="14">
        <v>81416</v>
      </c>
      <c r="H429" s="14">
        <v>105526</v>
      </c>
      <c r="I429" s="14">
        <v>139988</v>
      </c>
      <c r="J429" s="14">
        <v>168356</v>
      </c>
      <c r="K429" s="14">
        <v>179774</v>
      </c>
      <c r="L429" s="14">
        <v>196974</v>
      </c>
      <c r="M429" s="14">
        <v>220682</v>
      </c>
      <c r="N429" s="14">
        <v>269676</v>
      </c>
      <c r="O429" s="14">
        <v>301450</v>
      </c>
      <c r="P429" s="14">
        <v>327261</v>
      </c>
      <c r="Q429" s="14">
        <v>350678</v>
      </c>
      <c r="R429" s="15">
        <v>0.01</v>
      </c>
      <c r="S429" s="11">
        <f t="shared" si="10"/>
        <v>1513622.6300000001</v>
      </c>
      <c r="T429" s="1" t="str">
        <f t="shared" si="11"/>
        <v>NO</v>
      </c>
      <c r="U429" s="15">
        <v>0.75</v>
      </c>
      <c r="V429" s="11">
        <f t="shared" si="16"/>
        <v>1135216.9725000001</v>
      </c>
      <c r="W429" s="1" t="str">
        <f t="shared" si="17"/>
        <v>No</v>
      </c>
      <c r="X429" s="1"/>
      <c r="Y429" s="1"/>
      <c r="Z429" s="1"/>
      <c r="AA429" s="1"/>
    </row>
    <row r="430" spans="1:27" ht="14.4" x14ac:dyDescent="0.3">
      <c r="A430" s="1"/>
      <c r="B430" s="1"/>
      <c r="C430" s="1"/>
      <c r="D430" s="13">
        <v>62760</v>
      </c>
      <c r="E430" s="1" t="s">
        <v>323</v>
      </c>
      <c r="F430" s="1"/>
      <c r="G430" s="1"/>
      <c r="H430" s="1"/>
      <c r="I430" s="1"/>
      <c r="J430" s="1"/>
      <c r="K430" s="1"/>
      <c r="L430" s="1"/>
      <c r="M430" s="1"/>
      <c r="N430" s="1"/>
      <c r="O430" s="14">
        <v>2800</v>
      </c>
      <c r="P430" s="14">
        <v>9400</v>
      </c>
      <c r="Q430" s="14">
        <v>11750</v>
      </c>
      <c r="R430" s="15">
        <v>0.01</v>
      </c>
      <c r="S430" s="11">
        <f t="shared" si="10"/>
        <v>1513622.6300000001</v>
      </c>
      <c r="T430" s="1" t="str">
        <f t="shared" si="11"/>
        <v>NO</v>
      </c>
      <c r="U430" s="15">
        <v>0.75</v>
      </c>
      <c r="V430" s="11">
        <f t="shared" si="16"/>
        <v>1135216.9725000001</v>
      </c>
      <c r="W430" s="1" t="str">
        <f t="shared" si="17"/>
        <v>No</v>
      </c>
      <c r="X430" s="1"/>
      <c r="Y430" s="1"/>
      <c r="Z430" s="1"/>
      <c r="AA430" s="1"/>
    </row>
    <row r="431" spans="1:27" ht="14.4" x14ac:dyDescent="0.3">
      <c r="A431" s="1"/>
      <c r="B431" s="1"/>
      <c r="C431" s="1"/>
      <c r="D431" s="13">
        <v>62800</v>
      </c>
      <c r="E431" s="1" t="s">
        <v>302</v>
      </c>
      <c r="F431" s="14">
        <v>70061</v>
      </c>
      <c r="G431" s="14">
        <v>155899</v>
      </c>
      <c r="H431" s="14">
        <v>242547</v>
      </c>
      <c r="I431" s="14">
        <v>331070</v>
      </c>
      <c r="J431" s="14">
        <v>421182</v>
      </c>
      <c r="K431" s="14">
        <v>510948</v>
      </c>
      <c r="L431" s="14">
        <v>601558</v>
      </c>
      <c r="M431" s="14">
        <v>693697</v>
      </c>
      <c r="N431" s="14">
        <v>777727</v>
      </c>
      <c r="O431" s="14">
        <v>922959</v>
      </c>
      <c r="P431" s="14">
        <v>1026277</v>
      </c>
      <c r="Q431" s="14">
        <v>1120725</v>
      </c>
      <c r="R431" s="15">
        <v>0.01</v>
      </c>
      <c r="S431" s="11">
        <f t="shared" si="10"/>
        <v>1513622.6300000001</v>
      </c>
      <c r="T431" s="1" t="str">
        <f t="shared" si="11"/>
        <v>NO</v>
      </c>
      <c r="U431" s="15">
        <v>0.75</v>
      </c>
      <c r="V431" s="11">
        <f t="shared" si="16"/>
        <v>1135216.9725000001</v>
      </c>
      <c r="W431" s="1" t="str">
        <f t="shared" si="17"/>
        <v>No</v>
      </c>
      <c r="X431" s="1"/>
      <c r="Y431" s="1"/>
      <c r="Z431" s="1"/>
      <c r="AA431" s="1"/>
    </row>
    <row r="432" spans="1:27" ht="14.4" x14ac:dyDescent="0.3">
      <c r="A432" s="1"/>
      <c r="B432" s="1"/>
      <c r="C432" s="1"/>
      <c r="D432" s="13">
        <v>62910</v>
      </c>
      <c r="E432" s="1" t="s">
        <v>324</v>
      </c>
      <c r="F432" s="14">
        <v>6446</v>
      </c>
      <c r="G432" s="14">
        <v>13212</v>
      </c>
      <c r="H432" s="14">
        <v>21157</v>
      </c>
      <c r="I432" s="14">
        <v>36784</v>
      </c>
      <c r="J432" s="14">
        <v>33006</v>
      </c>
      <c r="K432" s="14">
        <v>43647</v>
      </c>
      <c r="L432" s="14">
        <v>69902</v>
      </c>
      <c r="M432" s="14">
        <v>82464</v>
      </c>
      <c r="N432" s="14">
        <v>97590</v>
      </c>
      <c r="O432" s="14">
        <v>108464</v>
      </c>
      <c r="P432" s="14">
        <v>132058</v>
      </c>
      <c r="Q432" s="14">
        <v>147778</v>
      </c>
      <c r="R432" s="15">
        <v>0.01</v>
      </c>
      <c r="S432" s="11">
        <f t="shared" si="10"/>
        <v>1513622.6300000001</v>
      </c>
      <c r="T432" s="1" t="str">
        <f t="shared" si="11"/>
        <v>NO</v>
      </c>
      <c r="U432" s="15">
        <v>0.75</v>
      </c>
      <c r="V432" s="11">
        <f t="shared" si="16"/>
        <v>1135216.9725000001</v>
      </c>
      <c r="W432" s="1" t="str">
        <f t="shared" si="17"/>
        <v>No</v>
      </c>
      <c r="X432" s="1"/>
      <c r="Y432" s="1"/>
      <c r="Z432" s="1"/>
      <c r="AA432" s="1"/>
    </row>
    <row r="433" spans="1:27" ht="14.4" x14ac:dyDescent="0.3">
      <c r="A433" s="1"/>
      <c r="B433" s="1"/>
      <c r="C433" s="1"/>
      <c r="D433" s="13">
        <v>62920</v>
      </c>
      <c r="E433" s="1" t="s">
        <v>325</v>
      </c>
      <c r="F433" s="14">
        <v>9857</v>
      </c>
      <c r="G433" s="14">
        <v>22605</v>
      </c>
      <c r="H433" s="14">
        <v>36302</v>
      </c>
      <c r="I433" s="14">
        <v>46933</v>
      </c>
      <c r="J433" s="14">
        <v>58091</v>
      </c>
      <c r="K433" s="14">
        <v>68468</v>
      </c>
      <c r="L433" s="14">
        <v>81357</v>
      </c>
      <c r="M433" s="14">
        <v>96356</v>
      </c>
      <c r="N433" s="14">
        <v>113052</v>
      </c>
      <c r="O433" s="14">
        <v>133760</v>
      </c>
      <c r="P433" s="14">
        <v>153849</v>
      </c>
      <c r="Q433" s="14">
        <v>176212</v>
      </c>
      <c r="R433" s="15">
        <v>0.01</v>
      </c>
      <c r="S433" s="11">
        <f t="shared" si="10"/>
        <v>1513622.6300000001</v>
      </c>
      <c r="T433" s="1" t="str">
        <f t="shared" si="11"/>
        <v>NO</v>
      </c>
      <c r="U433" s="15">
        <v>0.75</v>
      </c>
      <c r="V433" s="11">
        <f t="shared" si="16"/>
        <v>1135216.9725000001</v>
      </c>
      <c r="W433" s="1" t="str">
        <f t="shared" si="17"/>
        <v>No</v>
      </c>
      <c r="X433" s="1"/>
      <c r="Y433" s="1"/>
      <c r="Z433" s="1"/>
      <c r="AA433" s="1"/>
    </row>
    <row r="434" spans="1:27" ht="14.4" x14ac:dyDescent="0.3">
      <c r="A434" s="1"/>
      <c r="B434" s="1"/>
      <c r="C434" s="1"/>
      <c r="D434" s="13">
        <v>63000</v>
      </c>
      <c r="E434" s="1" t="s">
        <v>326</v>
      </c>
      <c r="F434" s="14">
        <v>2115</v>
      </c>
      <c r="G434" s="14">
        <v>4471</v>
      </c>
      <c r="H434" s="14">
        <v>6190</v>
      </c>
      <c r="I434" s="14">
        <v>8306</v>
      </c>
      <c r="J434" s="14">
        <v>9149</v>
      </c>
      <c r="K434" s="14">
        <v>12138</v>
      </c>
      <c r="L434" s="14">
        <v>14754</v>
      </c>
      <c r="M434" s="14">
        <v>16755</v>
      </c>
      <c r="N434" s="14">
        <v>18887</v>
      </c>
      <c r="O434" s="14">
        <v>20874</v>
      </c>
      <c r="P434" s="14">
        <v>23520</v>
      </c>
      <c r="Q434" s="14">
        <v>23908</v>
      </c>
      <c r="R434" s="15">
        <v>0.01</v>
      </c>
      <c r="S434" s="11">
        <f t="shared" si="10"/>
        <v>1513622.6300000001</v>
      </c>
      <c r="T434" s="1" t="str">
        <f t="shared" si="11"/>
        <v>NO</v>
      </c>
      <c r="U434" s="15">
        <v>0.75</v>
      </c>
      <c r="V434" s="11">
        <f t="shared" si="16"/>
        <v>1135216.9725000001</v>
      </c>
      <c r="W434" s="1" t="str">
        <f t="shared" si="17"/>
        <v>No</v>
      </c>
      <c r="X434" s="1"/>
      <c r="Y434" s="1"/>
      <c r="Z434" s="1"/>
      <c r="AA434" s="1"/>
    </row>
    <row r="435" spans="1:27" ht="14.4" x14ac:dyDescent="0.3">
      <c r="A435" s="1"/>
      <c r="B435" s="1"/>
      <c r="C435" s="1"/>
      <c r="D435" s="13">
        <v>63100</v>
      </c>
      <c r="E435" s="1" t="s">
        <v>327</v>
      </c>
      <c r="F435" s="14">
        <v>15820</v>
      </c>
      <c r="G435" s="14">
        <v>31811</v>
      </c>
      <c r="H435" s="14">
        <v>50022</v>
      </c>
      <c r="I435" s="14">
        <v>72152</v>
      </c>
      <c r="J435" s="14">
        <v>89058</v>
      </c>
      <c r="K435" s="14">
        <v>105908</v>
      </c>
      <c r="L435" s="14">
        <v>123933</v>
      </c>
      <c r="M435" s="14">
        <v>140076</v>
      </c>
      <c r="N435" s="14">
        <v>162340</v>
      </c>
      <c r="O435" s="14">
        <v>181861</v>
      </c>
      <c r="P435" s="14">
        <v>199275</v>
      </c>
      <c r="Q435" s="14">
        <v>224430</v>
      </c>
      <c r="R435" s="15">
        <v>0.01</v>
      </c>
      <c r="S435" s="11">
        <f t="shared" si="10"/>
        <v>1513622.6300000001</v>
      </c>
      <c r="T435" s="1" t="str">
        <f t="shared" si="11"/>
        <v>NO</v>
      </c>
      <c r="U435" s="15">
        <v>0.75</v>
      </c>
      <c r="V435" s="11">
        <f t="shared" si="16"/>
        <v>1135216.9725000001</v>
      </c>
      <c r="W435" s="1" t="str">
        <f t="shared" si="17"/>
        <v>No</v>
      </c>
      <c r="X435" s="1"/>
      <c r="Y435" s="1"/>
      <c r="Z435" s="1"/>
      <c r="AA435" s="1"/>
    </row>
    <row r="436" spans="1:27" ht="14.4" x14ac:dyDescent="0.3">
      <c r="A436" s="1"/>
      <c r="B436" s="1"/>
      <c r="C436" s="1"/>
      <c r="D436" s="13">
        <v>63530</v>
      </c>
      <c r="E436" s="1" t="s">
        <v>304</v>
      </c>
      <c r="F436" s="13">
        <v>820</v>
      </c>
      <c r="G436" s="14">
        <v>1639</v>
      </c>
      <c r="H436" s="14">
        <v>2459</v>
      </c>
      <c r="I436" s="14">
        <v>3278</v>
      </c>
      <c r="J436" s="14">
        <v>4098</v>
      </c>
      <c r="K436" s="14">
        <v>4917</v>
      </c>
      <c r="L436" s="14">
        <v>5737</v>
      </c>
      <c r="M436" s="14">
        <v>6557</v>
      </c>
      <c r="N436" s="14">
        <v>7376</v>
      </c>
      <c r="O436" s="14">
        <v>8196</v>
      </c>
      <c r="P436" s="14">
        <v>9015</v>
      </c>
      <c r="Q436" s="14">
        <v>9835</v>
      </c>
      <c r="R436" s="15">
        <v>0.01</v>
      </c>
      <c r="S436" s="11">
        <f t="shared" si="10"/>
        <v>1513622.6300000001</v>
      </c>
      <c r="T436" s="1" t="str">
        <f t="shared" si="11"/>
        <v>NO</v>
      </c>
      <c r="U436" s="15">
        <v>0.75</v>
      </c>
      <c r="V436" s="11">
        <f t="shared" si="16"/>
        <v>1135216.9725000001</v>
      </c>
      <c r="W436" s="1" t="str">
        <f t="shared" si="17"/>
        <v>No</v>
      </c>
      <c r="X436" s="1"/>
      <c r="Y436" s="1"/>
      <c r="Z436" s="1"/>
      <c r="AA436" s="1"/>
    </row>
    <row r="437" spans="1:27" ht="14.4" x14ac:dyDescent="0.3">
      <c r="A437" s="1"/>
      <c r="B437" s="1"/>
      <c r="C437" s="1"/>
      <c r="D437" s="13">
        <v>63540</v>
      </c>
      <c r="E437" s="1" t="s">
        <v>306</v>
      </c>
      <c r="F437" s="14">
        <v>14791</v>
      </c>
      <c r="G437" s="14">
        <v>32011</v>
      </c>
      <c r="H437" s="14">
        <v>49322</v>
      </c>
      <c r="I437" s="14">
        <v>66865</v>
      </c>
      <c r="J437" s="14">
        <v>84376</v>
      </c>
      <c r="K437" s="14">
        <v>101437</v>
      </c>
      <c r="L437" s="14">
        <v>118619</v>
      </c>
      <c r="M437" s="14">
        <v>135710</v>
      </c>
      <c r="N437" s="14">
        <v>152720</v>
      </c>
      <c r="O437" s="14">
        <v>169758</v>
      </c>
      <c r="P437" s="14">
        <v>186789</v>
      </c>
      <c r="Q437" s="14">
        <v>211750</v>
      </c>
      <c r="R437" s="15">
        <v>0.01</v>
      </c>
      <c r="S437" s="11">
        <f t="shared" si="10"/>
        <v>1513622.6300000001</v>
      </c>
      <c r="T437" s="1" t="str">
        <f t="shared" si="11"/>
        <v>NO</v>
      </c>
      <c r="U437" s="15">
        <v>0.75</v>
      </c>
      <c r="V437" s="11">
        <f t="shared" si="16"/>
        <v>1135216.9725000001</v>
      </c>
      <c r="W437" s="1" t="str">
        <f t="shared" si="17"/>
        <v>No</v>
      </c>
      <c r="X437" s="1"/>
      <c r="Y437" s="1"/>
      <c r="Z437" s="1"/>
      <c r="AA437" s="1"/>
    </row>
    <row r="438" spans="1:27" ht="14.4" x14ac:dyDescent="0.3">
      <c r="A438" s="1"/>
      <c r="B438" s="1"/>
      <c r="C438" s="1"/>
      <c r="D438" s="13">
        <v>63550</v>
      </c>
      <c r="E438" s="1" t="s">
        <v>328</v>
      </c>
      <c r="F438" s="14">
        <v>25681</v>
      </c>
      <c r="G438" s="14">
        <v>49974</v>
      </c>
      <c r="H438" s="14">
        <v>76890</v>
      </c>
      <c r="I438" s="14">
        <v>114212</v>
      </c>
      <c r="J438" s="14">
        <v>143727</v>
      </c>
      <c r="K438" s="14">
        <v>174586</v>
      </c>
      <c r="L438" s="14">
        <v>207306</v>
      </c>
      <c r="M438" s="14">
        <v>240540</v>
      </c>
      <c r="N438" s="14">
        <v>273774</v>
      </c>
      <c r="O438" s="14">
        <v>307008</v>
      </c>
      <c r="P438" s="14">
        <v>340242</v>
      </c>
      <c r="Q438" s="14">
        <v>385142</v>
      </c>
      <c r="R438" s="15">
        <v>0.01</v>
      </c>
      <c r="S438" s="11">
        <f t="shared" si="10"/>
        <v>1513622.6300000001</v>
      </c>
      <c r="T438" s="1" t="str">
        <f t="shared" si="11"/>
        <v>NO</v>
      </c>
      <c r="U438" s="15">
        <v>0.75</v>
      </c>
      <c r="V438" s="11">
        <f t="shared" si="16"/>
        <v>1135216.9725000001</v>
      </c>
      <c r="W438" s="1" t="str">
        <f t="shared" si="17"/>
        <v>No</v>
      </c>
      <c r="X438" s="1"/>
      <c r="Y438" s="1"/>
      <c r="Z438" s="1"/>
      <c r="AA438" s="1"/>
    </row>
    <row r="439" spans="1:27" ht="14.4" x14ac:dyDescent="0.3">
      <c r="A439" s="1"/>
      <c r="B439" s="1"/>
      <c r="C439" s="1"/>
      <c r="D439" s="13">
        <v>63570</v>
      </c>
      <c r="E439" s="1" t="s">
        <v>329</v>
      </c>
      <c r="F439" s="14">
        <v>13755</v>
      </c>
      <c r="G439" s="14">
        <v>26843</v>
      </c>
      <c r="H439" s="14">
        <v>34535</v>
      </c>
      <c r="I439" s="14">
        <v>42319</v>
      </c>
      <c r="J439" s="14">
        <v>50067</v>
      </c>
      <c r="K439" s="14">
        <v>57264</v>
      </c>
      <c r="L439" s="14">
        <v>64376</v>
      </c>
      <c r="M439" s="14">
        <v>71857</v>
      </c>
      <c r="N439" s="14">
        <v>79913</v>
      </c>
      <c r="O439" s="14">
        <v>86675</v>
      </c>
      <c r="P439" s="14">
        <v>94279</v>
      </c>
      <c r="Q439" s="14">
        <v>104160</v>
      </c>
      <c r="R439" s="15">
        <v>0.01</v>
      </c>
      <c r="S439" s="11">
        <f t="shared" si="10"/>
        <v>1513622.6300000001</v>
      </c>
      <c r="T439" s="1" t="str">
        <f t="shared" si="11"/>
        <v>NO</v>
      </c>
      <c r="U439" s="15">
        <v>0.75</v>
      </c>
      <c r="V439" s="11">
        <f t="shared" si="16"/>
        <v>1135216.9725000001</v>
      </c>
      <c r="W439" s="1" t="str">
        <f t="shared" si="17"/>
        <v>No</v>
      </c>
      <c r="X439" s="1"/>
      <c r="Y439" s="1"/>
      <c r="Z439" s="1"/>
      <c r="AA439" s="1"/>
    </row>
    <row r="440" spans="1:27" ht="14.4" x14ac:dyDescent="0.3">
      <c r="A440" s="1"/>
      <c r="B440" s="1"/>
      <c r="C440" s="1"/>
      <c r="D440" s="13">
        <v>63590</v>
      </c>
      <c r="E440" s="1" t="s">
        <v>310</v>
      </c>
      <c r="F440" s="13">
        <v>740</v>
      </c>
      <c r="G440" s="14">
        <v>1480</v>
      </c>
      <c r="H440" s="14">
        <v>2219</v>
      </c>
      <c r="I440" s="14">
        <v>2959</v>
      </c>
      <c r="J440" s="14">
        <v>3699</v>
      </c>
      <c r="K440" s="14">
        <v>4439</v>
      </c>
      <c r="L440" s="14">
        <v>5179</v>
      </c>
      <c r="M440" s="14">
        <v>5919</v>
      </c>
      <c r="N440" s="14">
        <v>6658</v>
      </c>
      <c r="O440" s="14">
        <v>7398</v>
      </c>
      <c r="P440" s="14">
        <v>8138</v>
      </c>
      <c r="Q440" s="14">
        <v>8878</v>
      </c>
      <c r="R440" s="15">
        <v>0.01</v>
      </c>
      <c r="S440" s="11">
        <f t="shared" si="10"/>
        <v>1513622.6300000001</v>
      </c>
      <c r="T440" s="1" t="str">
        <f t="shared" si="11"/>
        <v>NO</v>
      </c>
      <c r="U440" s="15">
        <v>0.75</v>
      </c>
      <c r="V440" s="11">
        <f t="shared" si="16"/>
        <v>1135216.9725000001</v>
      </c>
      <c r="W440" s="1" t="str">
        <f t="shared" si="17"/>
        <v>No</v>
      </c>
      <c r="X440" s="1"/>
      <c r="Y440" s="1"/>
      <c r="Z440" s="1"/>
      <c r="AA440" s="1"/>
    </row>
    <row r="441" spans="1:27" ht="14.4" x14ac:dyDescent="0.3">
      <c r="A441" s="1"/>
      <c r="B441" s="1"/>
      <c r="C441" s="1"/>
      <c r="D441" s="13">
        <v>63610</v>
      </c>
      <c r="E441" s="1" t="s">
        <v>255</v>
      </c>
      <c r="F441" s="14">
        <v>10660</v>
      </c>
      <c r="G441" s="14">
        <v>21321</v>
      </c>
      <c r="H441" s="14">
        <v>31981</v>
      </c>
      <c r="I441" s="14">
        <v>42642</v>
      </c>
      <c r="J441" s="14">
        <v>53302</v>
      </c>
      <c r="K441" s="14">
        <v>63962</v>
      </c>
      <c r="L441" s="14">
        <v>74623</v>
      </c>
      <c r="M441" s="14">
        <v>85283</v>
      </c>
      <c r="N441" s="14">
        <v>95944</v>
      </c>
      <c r="O441" s="14">
        <v>106604</v>
      </c>
      <c r="P441" s="14">
        <v>117264</v>
      </c>
      <c r="Q441" s="14">
        <v>127925</v>
      </c>
      <c r="R441" s="15">
        <v>0.01</v>
      </c>
      <c r="S441" s="11">
        <f t="shared" si="10"/>
        <v>1513622.6300000001</v>
      </c>
      <c r="T441" s="1" t="str">
        <f t="shared" si="11"/>
        <v>NO</v>
      </c>
      <c r="U441" s="15">
        <v>0.75</v>
      </c>
      <c r="V441" s="11">
        <f t="shared" si="16"/>
        <v>1135216.9725000001</v>
      </c>
      <c r="W441" s="1" t="str">
        <f t="shared" si="17"/>
        <v>No</v>
      </c>
      <c r="X441" s="1"/>
      <c r="Y441" s="1"/>
      <c r="Z441" s="1"/>
      <c r="AA441" s="1"/>
    </row>
    <row r="442" spans="1:27" ht="14.4" x14ac:dyDescent="0.3">
      <c r="A442" s="1"/>
      <c r="B442" s="1"/>
      <c r="C442" s="1"/>
      <c r="D442" s="13">
        <v>63620</v>
      </c>
      <c r="E442" s="1" t="s">
        <v>255</v>
      </c>
      <c r="F442" s="14">
        <v>330544</v>
      </c>
      <c r="G442" s="14">
        <v>661087</v>
      </c>
      <c r="H442" s="14">
        <v>991631</v>
      </c>
      <c r="I442" s="14">
        <v>1322174</v>
      </c>
      <c r="J442" s="14">
        <v>1652718</v>
      </c>
      <c r="K442" s="14">
        <v>3338171</v>
      </c>
      <c r="L442" s="14">
        <v>3901625</v>
      </c>
      <c r="M442" s="14">
        <v>4465079</v>
      </c>
      <c r="N442" s="14">
        <v>5028533</v>
      </c>
      <c r="O442" s="14">
        <v>5591987</v>
      </c>
      <c r="P442" s="14">
        <v>6155441</v>
      </c>
      <c r="Q442" s="14">
        <v>6600840</v>
      </c>
      <c r="R442" s="15">
        <v>0.01</v>
      </c>
      <c r="S442" s="11">
        <f t="shared" si="10"/>
        <v>1513622.6300000001</v>
      </c>
      <c r="T442" s="1" t="str">
        <f t="shared" si="11"/>
        <v>YES</v>
      </c>
      <c r="U442" s="15">
        <v>0.75</v>
      </c>
      <c r="V442" s="11">
        <f t="shared" si="16"/>
        <v>1135216.9725000001</v>
      </c>
      <c r="W442" s="1" t="str">
        <f t="shared" si="17"/>
        <v>Yes</v>
      </c>
      <c r="X442" s="1"/>
      <c r="Y442" s="1"/>
      <c r="Z442" s="1"/>
      <c r="AA442" s="1"/>
    </row>
    <row r="443" spans="1:27" ht="14.4" x14ac:dyDescent="0.3">
      <c r="A443" s="1"/>
      <c r="B443" s="1"/>
      <c r="C443" s="1"/>
      <c r="D443" s="13">
        <v>63640</v>
      </c>
      <c r="E443" s="1" t="s">
        <v>255</v>
      </c>
      <c r="F443" s="1"/>
      <c r="G443" s="1"/>
      <c r="H443" s="1"/>
      <c r="I443" s="1"/>
      <c r="J443" s="14">
        <v>312749</v>
      </c>
      <c r="K443" s="14">
        <v>625757</v>
      </c>
      <c r="L443" s="14">
        <v>625757</v>
      </c>
      <c r="M443" s="14">
        <v>625757</v>
      </c>
      <c r="N443" s="14">
        <v>625757</v>
      </c>
      <c r="O443" s="14">
        <v>625757</v>
      </c>
      <c r="P443" s="14">
        <v>625757</v>
      </c>
      <c r="Q443" s="1"/>
      <c r="R443" s="15">
        <v>0.01</v>
      </c>
      <c r="S443" s="11">
        <f t="shared" si="10"/>
        <v>1513622.6300000001</v>
      </c>
      <c r="T443" s="1" t="str">
        <f t="shared" si="11"/>
        <v>NO</v>
      </c>
      <c r="U443" s="15">
        <v>0.75</v>
      </c>
      <c r="V443" s="11">
        <f t="shared" si="16"/>
        <v>1135216.9725000001</v>
      </c>
      <c r="W443" s="1" t="str">
        <f t="shared" si="17"/>
        <v>No</v>
      </c>
      <c r="X443" s="1"/>
      <c r="Y443" s="1"/>
      <c r="Z443" s="1"/>
      <c r="AA443" s="1"/>
    </row>
    <row r="444" spans="1:27" ht="14.4" x14ac:dyDescent="0.3">
      <c r="A444" s="1"/>
      <c r="B444" s="1"/>
      <c r="C444" s="1"/>
      <c r="D444" s="13">
        <v>63650</v>
      </c>
      <c r="E444" s="1" t="s">
        <v>255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4">
        <v>1690000</v>
      </c>
      <c r="R444" s="15">
        <v>0.01</v>
      </c>
      <c r="S444" s="11">
        <f t="shared" si="10"/>
        <v>1513622.6300000001</v>
      </c>
      <c r="T444" s="1" t="str">
        <f t="shared" si="11"/>
        <v>YES</v>
      </c>
      <c r="U444" s="15">
        <v>0.75</v>
      </c>
      <c r="V444" s="11">
        <f t="shared" si="16"/>
        <v>1135216.9725000001</v>
      </c>
      <c r="W444" s="1" t="str">
        <f t="shared" si="17"/>
        <v>Yes</v>
      </c>
      <c r="X444" s="1"/>
      <c r="Y444" s="1"/>
      <c r="Z444" s="1"/>
      <c r="AA444" s="1"/>
    </row>
    <row r="445" spans="1:27" ht="14.4" x14ac:dyDescent="0.3">
      <c r="A445" s="1"/>
      <c r="B445" s="1"/>
      <c r="C445" s="1"/>
      <c r="D445" s="13">
        <v>63660</v>
      </c>
      <c r="E445" s="1" t="s">
        <v>255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4">
        <v>3500</v>
      </c>
      <c r="R445" s="15">
        <v>0.01</v>
      </c>
      <c r="S445" s="11">
        <f t="shared" si="10"/>
        <v>1513622.6300000001</v>
      </c>
      <c r="T445" s="1" t="str">
        <f t="shared" si="11"/>
        <v>NO</v>
      </c>
      <c r="U445" s="15">
        <v>0.75</v>
      </c>
      <c r="V445" s="11">
        <f t="shared" si="16"/>
        <v>1135216.9725000001</v>
      </c>
      <c r="W445" s="1" t="str">
        <f t="shared" si="17"/>
        <v>No</v>
      </c>
      <c r="X445" s="1"/>
      <c r="Y445" s="1"/>
      <c r="Z445" s="1"/>
      <c r="AA445" s="1"/>
    </row>
    <row r="446" spans="1:27" ht="14.4" x14ac:dyDescent="0.3">
      <c r="A446" s="1"/>
      <c r="B446" s="1"/>
      <c r="C446" s="1"/>
      <c r="D446" s="13">
        <v>63670</v>
      </c>
      <c r="E446" s="1" t="s">
        <v>255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4">
        <v>32183</v>
      </c>
      <c r="R446" s="15">
        <v>0.01</v>
      </c>
      <c r="S446" s="11">
        <f t="shared" si="10"/>
        <v>1513622.6300000001</v>
      </c>
      <c r="T446" s="1" t="str">
        <f t="shared" si="11"/>
        <v>NO</v>
      </c>
      <c r="U446" s="15">
        <v>0.75</v>
      </c>
      <c r="V446" s="11">
        <f t="shared" si="16"/>
        <v>1135216.9725000001</v>
      </c>
      <c r="W446" s="1" t="str">
        <f t="shared" si="17"/>
        <v>No</v>
      </c>
      <c r="X446" s="1"/>
      <c r="Y446" s="1"/>
      <c r="Z446" s="1"/>
      <c r="AA446" s="1"/>
    </row>
    <row r="447" spans="1:27" ht="14.4" x14ac:dyDescent="0.3">
      <c r="A447" s="1"/>
      <c r="B447" s="1"/>
      <c r="C447" s="1"/>
      <c r="D447" s="13">
        <v>63700</v>
      </c>
      <c r="E447" s="1" t="s">
        <v>311</v>
      </c>
      <c r="F447" s="14">
        <v>111301</v>
      </c>
      <c r="G447" s="14">
        <v>225249</v>
      </c>
      <c r="H447" s="14">
        <v>336550</v>
      </c>
      <c r="I447" s="14">
        <v>447851</v>
      </c>
      <c r="J447" s="14">
        <v>577902</v>
      </c>
      <c r="K447" s="14">
        <v>694271</v>
      </c>
      <c r="L447" s="14">
        <v>805572</v>
      </c>
      <c r="M447" s="14">
        <v>916873</v>
      </c>
      <c r="N447" s="14">
        <v>1069488</v>
      </c>
      <c r="O447" s="14">
        <v>1223649</v>
      </c>
      <c r="P447" s="14">
        <v>1368900</v>
      </c>
      <c r="Q447" s="14">
        <v>1637973</v>
      </c>
      <c r="R447" s="15">
        <v>0.01</v>
      </c>
      <c r="S447" s="11">
        <f t="shared" si="10"/>
        <v>1513622.6300000001</v>
      </c>
      <c r="T447" s="1" t="str">
        <f t="shared" si="11"/>
        <v>YES</v>
      </c>
      <c r="U447" s="15">
        <v>0.75</v>
      </c>
      <c r="V447" s="11">
        <f t="shared" si="16"/>
        <v>1135216.9725000001</v>
      </c>
      <c r="W447" s="1" t="str">
        <f t="shared" si="17"/>
        <v>Yes</v>
      </c>
      <c r="X447" s="1"/>
      <c r="Y447" s="1"/>
      <c r="Z447" s="1"/>
      <c r="AA447" s="1"/>
    </row>
    <row r="448" spans="1:27" ht="14.4" x14ac:dyDescent="0.3">
      <c r="A448" s="1"/>
      <c r="B448" s="1"/>
      <c r="C448" s="1"/>
      <c r="D448" s="13">
        <v>63720</v>
      </c>
      <c r="E448" s="1" t="s">
        <v>330</v>
      </c>
      <c r="F448" s="13">
        <v>801</v>
      </c>
      <c r="G448" s="14">
        <v>15882</v>
      </c>
      <c r="H448" s="14">
        <v>15882</v>
      </c>
      <c r="I448" s="14">
        <v>35034</v>
      </c>
      <c r="J448" s="14">
        <v>35034</v>
      </c>
      <c r="K448" s="14">
        <v>35034</v>
      </c>
      <c r="L448" s="14">
        <v>63314</v>
      </c>
      <c r="M448" s="14">
        <v>63314</v>
      </c>
      <c r="N448" s="14">
        <v>73699</v>
      </c>
      <c r="O448" s="14">
        <v>102888</v>
      </c>
      <c r="P448" s="14">
        <v>103000</v>
      </c>
      <c r="Q448" s="14">
        <v>103000</v>
      </c>
      <c r="R448" s="15">
        <v>0.01</v>
      </c>
      <c r="S448" s="11">
        <f t="shared" si="10"/>
        <v>1513622.6300000001</v>
      </c>
      <c r="T448" s="1" t="str">
        <f t="shared" si="11"/>
        <v>NO</v>
      </c>
      <c r="U448" s="15">
        <v>0.75</v>
      </c>
      <c r="V448" s="11">
        <f t="shared" si="16"/>
        <v>1135216.9725000001</v>
      </c>
      <c r="W448" s="1" t="str">
        <f t="shared" si="17"/>
        <v>No</v>
      </c>
      <c r="X448" s="1"/>
      <c r="Y448" s="1"/>
      <c r="Z448" s="1"/>
      <c r="AA448" s="1"/>
    </row>
    <row r="449" spans="1:27" ht="14.4" x14ac:dyDescent="0.3">
      <c r="A449" s="1"/>
      <c r="B449" s="1"/>
      <c r="C449" s="1"/>
      <c r="D449" s="13">
        <v>63721</v>
      </c>
      <c r="E449" s="1" t="s">
        <v>331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4">
        <v>64466</v>
      </c>
      <c r="R449" s="15">
        <v>0.01</v>
      </c>
      <c r="S449" s="11">
        <f t="shared" si="10"/>
        <v>1513622.6300000001</v>
      </c>
      <c r="T449" s="1" t="str">
        <f t="shared" si="11"/>
        <v>NO</v>
      </c>
      <c r="U449" s="15">
        <v>0.75</v>
      </c>
      <c r="V449" s="11">
        <f t="shared" si="16"/>
        <v>1135216.9725000001</v>
      </c>
      <c r="W449" s="1" t="str">
        <f t="shared" si="17"/>
        <v>No</v>
      </c>
      <c r="X449" s="1"/>
      <c r="Y449" s="1"/>
      <c r="Z449" s="1"/>
      <c r="AA449" s="1"/>
    </row>
    <row r="450" spans="1:27" ht="14.4" x14ac:dyDescent="0.3">
      <c r="A450" s="1"/>
      <c r="B450" s="1"/>
      <c r="C450" s="1"/>
      <c r="D450" s="13">
        <v>63810</v>
      </c>
      <c r="E450" s="1" t="s">
        <v>332</v>
      </c>
      <c r="F450" s="14">
        <v>10753</v>
      </c>
      <c r="G450" s="14">
        <v>18153</v>
      </c>
      <c r="H450" s="14">
        <v>59373</v>
      </c>
      <c r="I450" s="14">
        <v>67644</v>
      </c>
      <c r="J450" s="14">
        <v>73811</v>
      </c>
      <c r="K450" s="14">
        <v>82198</v>
      </c>
      <c r="L450" s="14">
        <v>88691</v>
      </c>
      <c r="M450" s="14">
        <v>99161</v>
      </c>
      <c r="N450" s="14">
        <v>106845</v>
      </c>
      <c r="O450" s="14">
        <v>117428</v>
      </c>
      <c r="P450" s="14">
        <v>127503</v>
      </c>
      <c r="Q450" s="14">
        <v>146154</v>
      </c>
      <c r="R450" s="15">
        <v>0.01</v>
      </c>
      <c r="S450" s="11">
        <f t="shared" si="10"/>
        <v>1513622.6300000001</v>
      </c>
      <c r="T450" s="1" t="str">
        <f t="shared" si="11"/>
        <v>NO</v>
      </c>
      <c r="U450" s="15">
        <v>0.75</v>
      </c>
      <c r="V450" s="11">
        <f t="shared" si="16"/>
        <v>1135216.9725000001</v>
      </c>
      <c r="W450" s="1" t="str">
        <f t="shared" si="17"/>
        <v>No</v>
      </c>
      <c r="X450" s="1"/>
      <c r="Y450" s="1"/>
      <c r="Z450" s="1"/>
      <c r="AA450" s="1"/>
    </row>
    <row r="451" spans="1:27" ht="14.4" x14ac:dyDescent="0.3">
      <c r="A451" s="1"/>
      <c r="B451" s="1"/>
      <c r="C451" s="1"/>
      <c r="D451" s="13">
        <v>63812</v>
      </c>
      <c r="E451" s="1" t="s">
        <v>332</v>
      </c>
      <c r="F451" s="14">
        <v>27311</v>
      </c>
      <c r="G451" s="14">
        <v>76729</v>
      </c>
      <c r="H451" s="14">
        <v>102370</v>
      </c>
      <c r="I451" s="14">
        <v>119903</v>
      </c>
      <c r="J451" s="14">
        <v>142564</v>
      </c>
      <c r="K451" s="14">
        <v>169242</v>
      </c>
      <c r="L451" s="14">
        <v>221620</v>
      </c>
      <c r="M451" s="14">
        <v>243487</v>
      </c>
      <c r="N451" s="14">
        <v>280108</v>
      </c>
      <c r="O451" s="14">
        <v>316306</v>
      </c>
      <c r="P451" s="14">
        <v>353627</v>
      </c>
      <c r="Q451" s="14">
        <v>391186</v>
      </c>
      <c r="R451" s="15">
        <v>0.01</v>
      </c>
      <c r="S451" s="11">
        <f t="shared" si="10"/>
        <v>1513622.6300000001</v>
      </c>
      <c r="T451" s="1" t="str">
        <f t="shared" si="11"/>
        <v>NO</v>
      </c>
      <c r="U451" s="15">
        <v>0.75</v>
      </c>
      <c r="V451" s="11">
        <f t="shared" si="16"/>
        <v>1135216.9725000001</v>
      </c>
      <c r="W451" s="1" t="str">
        <f t="shared" si="17"/>
        <v>No</v>
      </c>
      <c r="X451" s="1"/>
      <c r="Y451" s="1"/>
      <c r="Z451" s="1"/>
      <c r="AA451" s="1"/>
    </row>
    <row r="452" spans="1:27" ht="14.4" x14ac:dyDescent="0.3">
      <c r="A452" s="1"/>
      <c r="B452" s="1"/>
      <c r="C452" s="1"/>
      <c r="D452" s="13">
        <v>63820</v>
      </c>
      <c r="E452" s="1" t="s">
        <v>332</v>
      </c>
      <c r="F452" s="14">
        <v>2056</v>
      </c>
      <c r="G452" s="14">
        <v>15260</v>
      </c>
      <c r="H452" s="14">
        <v>32203</v>
      </c>
      <c r="I452" s="14">
        <v>51367</v>
      </c>
      <c r="J452" s="14">
        <v>56198</v>
      </c>
      <c r="K452" s="14">
        <v>63760</v>
      </c>
      <c r="L452" s="14">
        <v>76922</v>
      </c>
      <c r="M452" s="14">
        <v>81475</v>
      </c>
      <c r="N452" s="14">
        <v>99554</v>
      </c>
      <c r="O452" s="14">
        <v>100913</v>
      </c>
      <c r="P452" s="14">
        <v>115783</v>
      </c>
      <c r="Q452" s="14">
        <v>137467</v>
      </c>
      <c r="R452" s="15">
        <v>0.01</v>
      </c>
      <c r="S452" s="11">
        <f t="shared" si="10"/>
        <v>1513622.6300000001</v>
      </c>
      <c r="T452" s="1" t="str">
        <f t="shared" si="11"/>
        <v>NO</v>
      </c>
      <c r="U452" s="15">
        <v>0.75</v>
      </c>
      <c r="V452" s="11">
        <f t="shared" si="16"/>
        <v>1135216.9725000001</v>
      </c>
      <c r="W452" s="1" t="str">
        <f t="shared" si="17"/>
        <v>No</v>
      </c>
      <c r="X452" s="1"/>
      <c r="Y452" s="1"/>
      <c r="Z452" s="1"/>
      <c r="AA452" s="1"/>
    </row>
    <row r="453" spans="1:27" ht="14.4" x14ac:dyDescent="0.3">
      <c r="A453" s="1"/>
      <c r="B453" s="1"/>
      <c r="C453" s="1"/>
      <c r="D453" s="13">
        <v>63830</v>
      </c>
      <c r="E453" s="1" t="s">
        <v>332</v>
      </c>
      <c r="F453" s="14">
        <v>55679</v>
      </c>
      <c r="G453" s="14">
        <v>79986</v>
      </c>
      <c r="H453" s="14">
        <v>128579</v>
      </c>
      <c r="I453" s="14">
        <v>152435</v>
      </c>
      <c r="J453" s="14">
        <v>163628</v>
      </c>
      <c r="K453" s="14">
        <v>180360</v>
      </c>
      <c r="L453" s="14">
        <v>217957</v>
      </c>
      <c r="M453" s="14">
        <v>229935</v>
      </c>
      <c r="N453" s="14">
        <v>236620</v>
      </c>
      <c r="O453" s="14">
        <v>242328</v>
      </c>
      <c r="P453" s="14">
        <v>265244</v>
      </c>
      <c r="Q453" s="14">
        <v>268416</v>
      </c>
      <c r="R453" s="15">
        <v>0.01</v>
      </c>
      <c r="S453" s="11">
        <f t="shared" si="10"/>
        <v>1513622.6300000001</v>
      </c>
      <c r="T453" s="1" t="str">
        <f t="shared" si="11"/>
        <v>NO</v>
      </c>
      <c r="U453" s="15">
        <v>0.75</v>
      </c>
      <c r="V453" s="11">
        <f t="shared" si="16"/>
        <v>1135216.9725000001</v>
      </c>
      <c r="W453" s="1" t="str">
        <f t="shared" si="17"/>
        <v>No</v>
      </c>
      <c r="X453" s="1"/>
      <c r="Y453" s="1"/>
      <c r="Z453" s="1"/>
      <c r="AA453" s="1"/>
    </row>
    <row r="454" spans="1:27" ht="14.4" x14ac:dyDescent="0.3">
      <c r="A454" s="1"/>
      <c r="B454" s="1"/>
      <c r="C454" s="1"/>
      <c r="D454" s="13">
        <v>63840</v>
      </c>
      <c r="E454" s="1" t="s">
        <v>332</v>
      </c>
      <c r="F454" s="14">
        <v>164333</v>
      </c>
      <c r="G454" s="14">
        <v>444876</v>
      </c>
      <c r="H454" s="14">
        <v>726493</v>
      </c>
      <c r="I454" s="14">
        <v>969238</v>
      </c>
      <c r="J454" s="14">
        <v>1144294</v>
      </c>
      <c r="K454" s="14">
        <v>1308889</v>
      </c>
      <c r="L454" s="14">
        <v>1490226</v>
      </c>
      <c r="M454" s="14">
        <v>1876043</v>
      </c>
      <c r="N454" s="14">
        <v>2208345</v>
      </c>
      <c r="O454" s="14">
        <v>2384940</v>
      </c>
      <c r="P454" s="14">
        <v>2551901</v>
      </c>
      <c r="Q454" s="14">
        <v>2430473</v>
      </c>
      <c r="R454" s="15">
        <v>0.01</v>
      </c>
      <c r="S454" s="11">
        <f t="shared" si="10"/>
        <v>1513622.6300000001</v>
      </c>
      <c r="T454" s="1" t="str">
        <f t="shared" si="11"/>
        <v>YES</v>
      </c>
      <c r="U454" s="15">
        <v>0.75</v>
      </c>
      <c r="V454" s="11">
        <f t="shared" si="16"/>
        <v>1135216.9725000001</v>
      </c>
      <c r="W454" s="1" t="str">
        <f t="shared" si="17"/>
        <v>Yes</v>
      </c>
      <c r="X454" s="1"/>
      <c r="Y454" s="1"/>
      <c r="Z454" s="1"/>
      <c r="AA454" s="1"/>
    </row>
    <row r="455" spans="1:27" ht="14.4" x14ac:dyDescent="0.3">
      <c r="A455" s="1"/>
      <c r="B455" s="1"/>
      <c r="C455" s="1"/>
      <c r="D455" s="13">
        <v>63841</v>
      </c>
      <c r="E455" s="1" t="s">
        <v>333</v>
      </c>
      <c r="F455" s="1"/>
      <c r="G455" s="14">
        <v>3015</v>
      </c>
      <c r="H455" s="14">
        <v>6768</v>
      </c>
      <c r="I455" s="14">
        <v>24239</v>
      </c>
      <c r="J455" s="14">
        <v>27688</v>
      </c>
      <c r="K455" s="14">
        <v>29571</v>
      </c>
      <c r="L455" s="14">
        <v>29757</v>
      </c>
      <c r="M455" s="14">
        <v>31292</v>
      </c>
      <c r="N455" s="14">
        <v>33289</v>
      </c>
      <c r="O455" s="14">
        <v>34994</v>
      </c>
      <c r="P455" s="14">
        <v>35119</v>
      </c>
      <c r="Q455" s="14">
        <v>44294</v>
      </c>
      <c r="R455" s="15">
        <v>0.01</v>
      </c>
      <c r="S455" s="11">
        <f t="shared" si="10"/>
        <v>1513622.6300000001</v>
      </c>
      <c r="T455" s="1" t="str">
        <f t="shared" si="11"/>
        <v>NO</v>
      </c>
      <c r="U455" s="15">
        <v>0.75</v>
      </c>
      <c r="V455" s="11">
        <f t="shared" si="16"/>
        <v>1135216.9725000001</v>
      </c>
      <c r="W455" s="1" t="str">
        <f t="shared" si="17"/>
        <v>No</v>
      </c>
      <c r="X455" s="1"/>
      <c r="Y455" s="1"/>
      <c r="Z455" s="1"/>
      <c r="AA455" s="1"/>
    </row>
    <row r="456" spans="1:27" ht="14.4" x14ac:dyDescent="0.3">
      <c r="A456" s="1"/>
      <c r="B456" s="1"/>
      <c r="C456" s="1"/>
      <c r="D456" s="13">
        <v>63842</v>
      </c>
      <c r="E456" s="1" t="s">
        <v>334</v>
      </c>
      <c r="F456" s="1"/>
      <c r="G456" s="14">
        <v>11850</v>
      </c>
      <c r="H456" s="14">
        <v>16650</v>
      </c>
      <c r="I456" s="14">
        <v>24085</v>
      </c>
      <c r="J456" s="14">
        <v>25585</v>
      </c>
      <c r="K456" s="14">
        <v>25585</v>
      </c>
      <c r="L456" s="14">
        <v>27585</v>
      </c>
      <c r="M456" s="14">
        <v>35885</v>
      </c>
      <c r="N456" s="14">
        <v>40985</v>
      </c>
      <c r="O456" s="14">
        <v>51485</v>
      </c>
      <c r="P456" s="14">
        <v>52985</v>
      </c>
      <c r="Q456" s="14">
        <v>86485</v>
      </c>
      <c r="R456" s="15">
        <v>0.01</v>
      </c>
      <c r="S456" s="11">
        <f t="shared" si="10"/>
        <v>1513622.6300000001</v>
      </c>
      <c r="T456" s="1" t="str">
        <f t="shared" si="11"/>
        <v>NO</v>
      </c>
      <c r="U456" s="15">
        <v>0.75</v>
      </c>
      <c r="V456" s="11">
        <f t="shared" si="16"/>
        <v>1135216.9725000001</v>
      </c>
      <c r="W456" s="1" t="str">
        <f t="shared" si="17"/>
        <v>No</v>
      </c>
      <c r="X456" s="1"/>
      <c r="Y456" s="1"/>
      <c r="Z456" s="1"/>
      <c r="AA456" s="1"/>
    </row>
    <row r="457" spans="1:27" ht="14.4" x14ac:dyDescent="0.3">
      <c r="A457" s="1"/>
      <c r="B457" s="1"/>
      <c r="C457" s="1"/>
      <c r="D457" s="13">
        <v>63845</v>
      </c>
      <c r="E457" s="1" t="s">
        <v>332</v>
      </c>
      <c r="F457" s="14">
        <v>12193</v>
      </c>
      <c r="G457" s="14">
        <v>22925</v>
      </c>
      <c r="H457" s="14">
        <v>34589</v>
      </c>
      <c r="I457" s="14">
        <v>46971</v>
      </c>
      <c r="J457" s="14">
        <v>61342</v>
      </c>
      <c r="K457" s="14">
        <v>70734</v>
      </c>
      <c r="L457" s="14">
        <v>79887</v>
      </c>
      <c r="M457" s="14">
        <v>96343</v>
      </c>
      <c r="N457" s="14">
        <v>106298</v>
      </c>
      <c r="O457" s="14">
        <v>118728</v>
      </c>
      <c r="P457" s="14">
        <v>126617</v>
      </c>
      <c r="Q457" s="14">
        <v>139396</v>
      </c>
      <c r="R457" s="15">
        <v>0.01</v>
      </c>
      <c r="S457" s="11">
        <f t="shared" si="10"/>
        <v>1513622.6300000001</v>
      </c>
      <c r="T457" s="1" t="str">
        <f t="shared" si="11"/>
        <v>NO</v>
      </c>
      <c r="U457" s="15">
        <v>0.75</v>
      </c>
      <c r="V457" s="11">
        <f t="shared" si="16"/>
        <v>1135216.9725000001</v>
      </c>
      <c r="W457" s="1" t="str">
        <f t="shared" si="17"/>
        <v>No</v>
      </c>
      <c r="X457" s="1"/>
      <c r="Y457" s="1"/>
      <c r="Z457" s="1"/>
      <c r="AA457" s="1"/>
    </row>
    <row r="458" spans="1:27" ht="14.4" x14ac:dyDescent="0.3">
      <c r="A458" s="1"/>
      <c r="B458" s="1"/>
      <c r="C458" s="1"/>
      <c r="D458" s="13">
        <v>63850</v>
      </c>
      <c r="E458" s="1" t="s">
        <v>332</v>
      </c>
      <c r="F458" s="14">
        <v>176868</v>
      </c>
      <c r="G458" s="14">
        <v>316514</v>
      </c>
      <c r="H458" s="14">
        <v>464452</v>
      </c>
      <c r="I458" s="14">
        <v>613910</v>
      </c>
      <c r="J458" s="14">
        <v>879376</v>
      </c>
      <c r="K458" s="14">
        <v>846369</v>
      </c>
      <c r="L458" s="14">
        <v>944368</v>
      </c>
      <c r="M458" s="14">
        <v>1073520</v>
      </c>
      <c r="N458" s="14">
        <v>1187694</v>
      </c>
      <c r="O458" s="14">
        <v>1317461</v>
      </c>
      <c r="P458" s="14">
        <v>1365782</v>
      </c>
      <c r="Q458" s="14">
        <v>1802412</v>
      </c>
      <c r="R458" s="15">
        <v>0.01</v>
      </c>
      <c r="S458" s="11">
        <f t="shared" si="10"/>
        <v>1513622.6300000001</v>
      </c>
      <c r="T458" s="1" t="str">
        <f t="shared" si="11"/>
        <v>YES</v>
      </c>
      <c r="U458" s="15">
        <v>0.75</v>
      </c>
      <c r="V458" s="11">
        <f t="shared" si="16"/>
        <v>1135216.9725000001</v>
      </c>
      <c r="W458" s="1" t="str">
        <f t="shared" si="17"/>
        <v>Yes</v>
      </c>
      <c r="X458" s="1"/>
      <c r="Y458" s="1"/>
      <c r="Z458" s="1"/>
      <c r="AA458" s="1"/>
    </row>
    <row r="459" spans="1:27" ht="14.4" x14ac:dyDescent="0.3">
      <c r="A459" s="1"/>
      <c r="B459" s="1"/>
      <c r="C459" s="1"/>
      <c r="D459" s="13">
        <v>63860</v>
      </c>
      <c r="E459" s="1" t="s">
        <v>335</v>
      </c>
      <c r="F459" s="1"/>
      <c r="G459" s="1"/>
      <c r="H459" s="1"/>
      <c r="I459" s="1"/>
      <c r="J459" s="1"/>
      <c r="K459" s="1"/>
      <c r="L459" s="1"/>
      <c r="M459" s="1"/>
      <c r="N459" s="13">
        <v>500</v>
      </c>
      <c r="O459" s="14">
        <v>1950</v>
      </c>
      <c r="P459" s="14">
        <v>3644</v>
      </c>
      <c r="Q459" s="14">
        <v>3711</v>
      </c>
      <c r="R459" s="15">
        <v>0.01</v>
      </c>
      <c r="S459" s="11">
        <f t="shared" si="10"/>
        <v>1513622.6300000001</v>
      </c>
      <c r="T459" s="1" t="str">
        <f t="shared" si="11"/>
        <v>NO</v>
      </c>
      <c r="U459" s="15">
        <v>0.75</v>
      </c>
      <c r="V459" s="11">
        <f t="shared" si="16"/>
        <v>1135216.9725000001</v>
      </c>
      <c r="W459" s="1" t="str">
        <f t="shared" si="17"/>
        <v>No</v>
      </c>
      <c r="X459" s="1"/>
      <c r="Y459" s="1"/>
      <c r="Z459" s="1"/>
      <c r="AA459" s="1"/>
    </row>
    <row r="460" spans="1:27" ht="14.4" x14ac:dyDescent="0.3">
      <c r="A460" s="1"/>
      <c r="B460" s="1"/>
      <c r="C460" s="1"/>
      <c r="D460" s="13">
        <v>65000</v>
      </c>
      <c r="E460" s="1" t="s">
        <v>336</v>
      </c>
      <c r="F460" s="13">
        <v>272</v>
      </c>
      <c r="G460" s="13">
        <v>272</v>
      </c>
      <c r="H460" s="13">
        <v>272</v>
      </c>
      <c r="I460" s="13">
        <v>272</v>
      </c>
      <c r="J460" s="13">
        <v>272</v>
      </c>
      <c r="K460" s="13">
        <v>272</v>
      </c>
      <c r="L460" s="13">
        <v>272</v>
      </c>
      <c r="M460" s="13">
        <v>272</v>
      </c>
      <c r="N460" s="13">
        <v>272</v>
      </c>
      <c r="O460" s="13">
        <v>272</v>
      </c>
      <c r="P460" s="13">
        <v>272</v>
      </c>
      <c r="Q460" s="1"/>
      <c r="R460" s="15">
        <v>0.01</v>
      </c>
      <c r="S460" s="11">
        <f t="shared" si="10"/>
        <v>1513622.6300000001</v>
      </c>
      <c r="T460" s="1" t="str">
        <f t="shared" si="11"/>
        <v>NO</v>
      </c>
      <c r="U460" s="15">
        <v>0.75</v>
      </c>
      <c r="V460" s="11">
        <f t="shared" si="16"/>
        <v>1135216.9725000001</v>
      </c>
      <c r="W460" s="1" t="str">
        <f t="shared" si="17"/>
        <v>No</v>
      </c>
      <c r="X460" s="1"/>
      <c r="Y460" s="1"/>
      <c r="Z460" s="1"/>
      <c r="AA460" s="1"/>
    </row>
    <row r="461" spans="1:27" ht="14.4" x14ac:dyDescent="0.3">
      <c r="A461" s="1"/>
      <c r="B461" s="1"/>
      <c r="C461" s="1"/>
      <c r="D461" s="13">
        <v>66000</v>
      </c>
      <c r="E461" s="1" t="s">
        <v>337</v>
      </c>
      <c r="F461" s="14">
        <v>83334</v>
      </c>
      <c r="G461" s="14">
        <v>166668</v>
      </c>
      <c r="H461" s="14">
        <v>250002</v>
      </c>
      <c r="I461" s="14">
        <v>333336</v>
      </c>
      <c r="J461" s="14">
        <v>416670</v>
      </c>
      <c r="K461" s="14">
        <v>500004</v>
      </c>
      <c r="L461" s="14">
        <v>583338</v>
      </c>
      <c r="M461" s="14">
        <v>666672</v>
      </c>
      <c r="N461" s="14">
        <v>750006</v>
      </c>
      <c r="O461" s="14">
        <v>833340</v>
      </c>
      <c r="P461" s="14">
        <v>916674</v>
      </c>
      <c r="Q461" s="14">
        <v>2820977</v>
      </c>
      <c r="R461" s="15">
        <v>0.01</v>
      </c>
      <c r="S461" s="11">
        <f t="shared" si="10"/>
        <v>1513622.6300000001</v>
      </c>
      <c r="T461" s="1" t="str">
        <f t="shared" si="11"/>
        <v>YES</v>
      </c>
      <c r="U461" s="15">
        <v>0.75</v>
      </c>
      <c r="V461" s="11">
        <f t="shared" si="16"/>
        <v>1135216.9725000001</v>
      </c>
      <c r="W461" s="1" t="str">
        <f t="shared" si="17"/>
        <v>Yes</v>
      </c>
      <c r="X461" s="1"/>
      <c r="Y461" s="1"/>
      <c r="Z461" s="1"/>
      <c r="AA461" s="1"/>
    </row>
    <row r="462" spans="1:27" ht="14.4" x14ac:dyDescent="0.3">
      <c r="A462" s="1"/>
      <c r="B462" s="1"/>
      <c r="C462" s="1"/>
      <c r="D462" s="13">
        <v>66600</v>
      </c>
      <c r="E462" s="1" t="s">
        <v>338</v>
      </c>
      <c r="F462" s="1"/>
      <c r="G462" s="1"/>
      <c r="H462" s="14">
        <v>70000</v>
      </c>
      <c r="I462" s="14">
        <v>70185</v>
      </c>
      <c r="J462" s="14">
        <v>70185</v>
      </c>
      <c r="K462" s="14">
        <v>70185</v>
      </c>
      <c r="L462" s="14">
        <v>70185</v>
      </c>
      <c r="M462" s="14">
        <v>70185</v>
      </c>
      <c r="N462" s="14">
        <v>107251</v>
      </c>
      <c r="O462" s="14">
        <v>107251</v>
      </c>
      <c r="P462" s="14">
        <v>107251</v>
      </c>
      <c r="Q462" s="14">
        <v>107251</v>
      </c>
      <c r="R462" s="15">
        <v>0.01</v>
      </c>
      <c r="S462" s="11">
        <f t="shared" si="10"/>
        <v>1513622.6300000001</v>
      </c>
      <c r="T462" s="1" t="str">
        <f t="shared" si="11"/>
        <v>NO</v>
      </c>
      <c r="U462" s="15">
        <v>0.75</v>
      </c>
      <c r="V462" s="11">
        <f t="shared" ref="V462:V485" si="18">S462*U462</f>
        <v>1135216.9725000001</v>
      </c>
      <c r="W462" s="1" t="str">
        <f t="shared" ref="W462:W485" si="19">IF(ABS(Q462)&gt;V462,"Yes","No")</f>
        <v>No</v>
      </c>
      <c r="X462" s="1"/>
      <c r="Y462" s="1"/>
      <c r="Z462" s="1"/>
      <c r="AA462" s="1"/>
    </row>
    <row r="463" spans="1:27" ht="14.4" x14ac:dyDescent="0.3">
      <c r="A463" s="1"/>
      <c r="B463" s="1"/>
      <c r="C463" s="1"/>
      <c r="D463" s="13">
        <v>73107</v>
      </c>
      <c r="E463" s="1" t="s">
        <v>339</v>
      </c>
      <c r="F463" s="1"/>
      <c r="G463" s="1"/>
      <c r="H463" s="1"/>
      <c r="I463" s="14">
        <v>58067</v>
      </c>
      <c r="J463" s="14">
        <v>223067</v>
      </c>
      <c r="K463" s="14">
        <v>223067</v>
      </c>
      <c r="L463" s="14">
        <v>223067</v>
      </c>
      <c r="M463" s="14">
        <v>323067</v>
      </c>
      <c r="N463" s="14">
        <v>365845</v>
      </c>
      <c r="O463" s="14">
        <v>604584</v>
      </c>
      <c r="P463" s="14">
        <v>604584</v>
      </c>
      <c r="Q463" s="14">
        <v>329584</v>
      </c>
      <c r="R463" s="15">
        <v>0.01</v>
      </c>
      <c r="S463" s="11">
        <f t="shared" si="10"/>
        <v>1513622.6300000001</v>
      </c>
      <c r="T463" s="1" t="str">
        <f t="shared" si="11"/>
        <v>NO</v>
      </c>
      <c r="U463" s="15">
        <v>0.75</v>
      </c>
      <c r="V463" s="11">
        <f t="shared" si="18"/>
        <v>1135216.9725000001</v>
      </c>
      <c r="W463" s="1" t="str">
        <f t="shared" si="19"/>
        <v>No</v>
      </c>
      <c r="X463" s="1"/>
      <c r="Y463" s="1"/>
      <c r="Z463" s="1"/>
      <c r="AA463" s="1"/>
    </row>
    <row r="464" spans="1:27" ht="14.4" x14ac:dyDescent="0.3">
      <c r="A464" s="1"/>
      <c r="B464" s="1"/>
      <c r="C464" s="1"/>
      <c r="D464" s="13">
        <v>73108</v>
      </c>
      <c r="E464" s="1" t="s">
        <v>340</v>
      </c>
      <c r="F464" s="1"/>
      <c r="G464" s="14">
        <v>-120000</v>
      </c>
      <c r="H464" s="14">
        <v>-255472</v>
      </c>
      <c r="I464" s="14">
        <v>-227764</v>
      </c>
      <c r="J464" s="14">
        <v>-282764</v>
      </c>
      <c r="K464" s="14">
        <v>-282764</v>
      </c>
      <c r="L464" s="14">
        <v>-282764</v>
      </c>
      <c r="M464" s="14">
        <v>-304764</v>
      </c>
      <c r="N464" s="14">
        <v>-304764</v>
      </c>
      <c r="O464" s="14">
        <v>-339764</v>
      </c>
      <c r="P464" s="14">
        <v>-339764</v>
      </c>
      <c r="Q464" s="14">
        <v>-339764</v>
      </c>
      <c r="R464" s="15">
        <v>0.01</v>
      </c>
      <c r="S464" s="11">
        <f t="shared" si="10"/>
        <v>1513622.6300000001</v>
      </c>
      <c r="T464" s="1" t="str">
        <f t="shared" si="11"/>
        <v>NO</v>
      </c>
      <c r="U464" s="15">
        <v>0.75</v>
      </c>
      <c r="V464" s="11">
        <f t="shared" si="18"/>
        <v>1135216.9725000001</v>
      </c>
      <c r="W464" s="1" t="str">
        <f t="shared" si="19"/>
        <v>No</v>
      </c>
      <c r="X464" s="1"/>
      <c r="Y464" s="1"/>
      <c r="Z464" s="1"/>
      <c r="AA464" s="1"/>
    </row>
    <row r="465" spans="1:27" ht="14.4" x14ac:dyDescent="0.3">
      <c r="A465" s="1"/>
      <c r="B465" s="1"/>
      <c r="C465" s="1"/>
      <c r="D465" s="13">
        <v>73110</v>
      </c>
      <c r="E465" s="1" t="s">
        <v>341</v>
      </c>
      <c r="F465" s="14">
        <v>-1875</v>
      </c>
      <c r="G465" s="14">
        <v>-3025</v>
      </c>
      <c r="H465" s="14">
        <v>-7900</v>
      </c>
      <c r="I465" s="14">
        <v>-8400</v>
      </c>
      <c r="J465" s="14">
        <v>-11600</v>
      </c>
      <c r="K465" s="14">
        <v>-12100</v>
      </c>
      <c r="L465" s="14">
        <v>-14300</v>
      </c>
      <c r="M465" s="14">
        <v>-15800</v>
      </c>
      <c r="N465" s="14">
        <v>-17500</v>
      </c>
      <c r="O465" s="14">
        <v>-19000</v>
      </c>
      <c r="P465" s="14">
        <v>-21525</v>
      </c>
      <c r="Q465" s="14">
        <v>-22350</v>
      </c>
      <c r="R465" s="15">
        <v>0.01</v>
      </c>
      <c r="S465" s="11">
        <f t="shared" si="10"/>
        <v>1513622.6300000001</v>
      </c>
      <c r="T465" s="1" t="str">
        <f t="shared" si="11"/>
        <v>NO</v>
      </c>
      <c r="U465" s="15">
        <v>0.75</v>
      </c>
      <c r="V465" s="11">
        <f t="shared" si="18"/>
        <v>1135216.9725000001</v>
      </c>
      <c r="W465" s="1" t="str">
        <f t="shared" si="19"/>
        <v>No</v>
      </c>
      <c r="X465" s="1"/>
      <c r="Y465" s="1"/>
      <c r="Z465" s="1"/>
      <c r="AA465" s="1"/>
    </row>
    <row r="466" spans="1:27" ht="14.4" x14ac:dyDescent="0.3">
      <c r="A466" s="1"/>
      <c r="B466" s="1"/>
      <c r="C466" s="1"/>
      <c r="D466" s="13">
        <v>73116</v>
      </c>
      <c r="E466" s="1" t="s">
        <v>186</v>
      </c>
      <c r="F466" s="14">
        <v>28457</v>
      </c>
      <c r="G466" s="14">
        <v>30087</v>
      </c>
      <c r="H466" s="14">
        <v>35934</v>
      </c>
      <c r="I466" s="14">
        <v>95681</v>
      </c>
      <c r="J466" s="14">
        <v>200880</v>
      </c>
      <c r="K466" s="14">
        <v>251582</v>
      </c>
      <c r="L466" s="14">
        <v>317515</v>
      </c>
      <c r="M466" s="14">
        <v>465071</v>
      </c>
      <c r="N466" s="14">
        <v>520648</v>
      </c>
      <c r="O466" s="14">
        <v>615357</v>
      </c>
      <c r="P466" s="14">
        <v>790191</v>
      </c>
      <c r="Q466" s="14">
        <v>695999</v>
      </c>
      <c r="R466" s="15">
        <v>0.01</v>
      </c>
      <c r="S466" s="11">
        <f t="shared" si="10"/>
        <v>1513622.6300000001</v>
      </c>
      <c r="T466" s="1" t="str">
        <f t="shared" si="11"/>
        <v>NO</v>
      </c>
      <c r="U466" s="15">
        <v>0.75</v>
      </c>
      <c r="V466" s="11">
        <f t="shared" si="18"/>
        <v>1135216.9725000001</v>
      </c>
      <c r="W466" s="1" t="str">
        <f t="shared" si="19"/>
        <v>No</v>
      </c>
      <c r="X466" s="1"/>
      <c r="Y466" s="1"/>
      <c r="Z466" s="1"/>
      <c r="AA466" s="1"/>
    </row>
    <row r="467" spans="1:27" ht="14.4" x14ac:dyDescent="0.3">
      <c r="A467" s="1"/>
      <c r="B467" s="1"/>
      <c r="C467" s="1"/>
      <c r="D467" s="13">
        <v>73120</v>
      </c>
      <c r="E467" s="1" t="s">
        <v>342</v>
      </c>
      <c r="F467" s="14">
        <v>-7209</v>
      </c>
      <c r="G467" s="14">
        <v>-25034</v>
      </c>
      <c r="H467" s="14">
        <v>-59254</v>
      </c>
      <c r="I467" s="14">
        <v>-68012</v>
      </c>
      <c r="J467" s="14">
        <v>-61406</v>
      </c>
      <c r="K467" s="14">
        <v>-86262</v>
      </c>
      <c r="L467" s="14">
        <v>-94843</v>
      </c>
      <c r="M467" s="14">
        <v>-126741</v>
      </c>
      <c r="N467" s="14">
        <v>-125901</v>
      </c>
      <c r="O467" s="14">
        <v>-172070</v>
      </c>
      <c r="P467" s="14">
        <v>-165345</v>
      </c>
      <c r="Q467" s="14">
        <v>-192368</v>
      </c>
      <c r="R467" s="15">
        <v>0.01</v>
      </c>
      <c r="S467" s="11">
        <f t="shared" si="10"/>
        <v>1513622.6300000001</v>
      </c>
      <c r="T467" s="1" t="str">
        <f t="shared" si="11"/>
        <v>NO</v>
      </c>
      <c r="U467" s="15">
        <v>0.75</v>
      </c>
      <c r="V467" s="11">
        <f t="shared" si="18"/>
        <v>1135216.9725000001</v>
      </c>
      <c r="W467" s="1" t="str">
        <f t="shared" si="19"/>
        <v>No</v>
      </c>
      <c r="X467" s="1"/>
      <c r="Y467" s="1"/>
      <c r="Z467" s="1"/>
      <c r="AA467" s="1"/>
    </row>
    <row r="468" spans="1:27" ht="14.4" x14ac:dyDescent="0.3">
      <c r="A468" s="1"/>
      <c r="B468" s="1"/>
      <c r="C468" s="1"/>
      <c r="D468" s="13">
        <v>73122</v>
      </c>
      <c r="E468" s="1" t="s">
        <v>343</v>
      </c>
      <c r="F468" s="1"/>
      <c r="G468" s="1"/>
      <c r="H468" s="1"/>
      <c r="I468" s="1"/>
      <c r="J468" s="1"/>
      <c r="K468" s="1"/>
      <c r="L468" s="14">
        <v>-6780</v>
      </c>
      <c r="M468" s="14">
        <v>-6780</v>
      </c>
      <c r="N468" s="14">
        <v>-6780</v>
      </c>
      <c r="O468" s="14">
        <v>-6780</v>
      </c>
      <c r="P468" s="14">
        <v>-6780</v>
      </c>
      <c r="Q468" s="14">
        <v>-6780</v>
      </c>
      <c r="R468" s="15">
        <v>0.01</v>
      </c>
      <c r="S468" s="11">
        <f t="shared" si="10"/>
        <v>1513622.6300000001</v>
      </c>
      <c r="T468" s="1" t="str">
        <f t="shared" si="11"/>
        <v>NO</v>
      </c>
      <c r="U468" s="15">
        <v>0.75</v>
      </c>
      <c r="V468" s="11">
        <f t="shared" si="18"/>
        <v>1135216.9725000001</v>
      </c>
      <c r="W468" s="1" t="str">
        <f t="shared" si="19"/>
        <v>No</v>
      </c>
      <c r="X468" s="1"/>
      <c r="Y468" s="1"/>
      <c r="Z468" s="1"/>
      <c r="AA468" s="1"/>
    </row>
    <row r="469" spans="1:27" ht="14.4" x14ac:dyDescent="0.3">
      <c r="A469" s="1"/>
      <c r="B469" s="1"/>
      <c r="C469" s="1"/>
      <c r="D469" s="13">
        <v>73123</v>
      </c>
      <c r="E469" s="1" t="s">
        <v>344</v>
      </c>
      <c r="F469" s="14">
        <v>-5864</v>
      </c>
      <c r="G469" s="14">
        <v>26146</v>
      </c>
      <c r="H469" s="14">
        <v>-4956</v>
      </c>
      <c r="I469" s="14">
        <v>-4956</v>
      </c>
      <c r="J469" s="14">
        <v>-4977</v>
      </c>
      <c r="K469" s="14">
        <v>-4977</v>
      </c>
      <c r="L469" s="14">
        <v>-4977</v>
      </c>
      <c r="M469" s="14">
        <v>-80856</v>
      </c>
      <c r="N469" s="14">
        <v>-80856</v>
      </c>
      <c r="O469" s="14">
        <v>-1321</v>
      </c>
      <c r="P469" s="14">
        <v>-9847</v>
      </c>
      <c r="Q469" s="13">
        <v>169</v>
      </c>
      <c r="R469" s="15">
        <v>0.01</v>
      </c>
      <c r="S469" s="11">
        <f t="shared" si="10"/>
        <v>1513622.6300000001</v>
      </c>
      <c r="T469" s="1" t="str">
        <f t="shared" si="11"/>
        <v>NO</v>
      </c>
      <c r="U469" s="15">
        <v>0.75</v>
      </c>
      <c r="V469" s="11">
        <f t="shared" si="18"/>
        <v>1135216.9725000001</v>
      </c>
      <c r="W469" s="1" t="str">
        <f t="shared" si="19"/>
        <v>No</v>
      </c>
      <c r="X469" s="1"/>
      <c r="Y469" s="1"/>
      <c r="Z469" s="1"/>
      <c r="AA469" s="1"/>
    </row>
    <row r="470" spans="1:27" ht="14.4" x14ac:dyDescent="0.3">
      <c r="A470" s="1"/>
      <c r="B470" s="1"/>
      <c r="C470" s="1"/>
      <c r="D470" s="13">
        <v>73126</v>
      </c>
      <c r="E470" s="1" t="s">
        <v>345</v>
      </c>
      <c r="F470" s="13">
        <v>-10</v>
      </c>
      <c r="G470" s="13">
        <v>-23</v>
      </c>
      <c r="H470" s="13">
        <v>-23</v>
      </c>
      <c r="I470" s="13">
        <v>-23</v>
      </c>
      <c r="J470" s="13">
        <v>-23</v>
      </c>
      <c r="K470" s="13">
        <v>-23</v>
      </c>
      <c r="L470" s="13">
        <v>-23</v>
      </c>
      <c r="M470" s="13">
        <v>-23</v>
      </c>
      <c r="N470" s="13">
        <v>-23</v>
      </c>
      <c r="O470" s="13">
        <v>-23</v>
      </c>
      <c r="P470" s="13">
        <v>-23</v>
      </c>
      <c r="Q470" s="13">
        <v>-43</v>
      </c>
      <c r="R470" s="15">
        <v>0.01</v>
      </c>
      <c r="S470" s="11">
        <f t="shared" si="10"/>
        <v>1513622.6300000001</v>
      </c>
      <c r="T470" s="1" t="str">
        <f t="shared" si="11"/>
        <v>NO</v>
      </c>
      <c r="U470" s="15">
        <v>0.75</v>
      </c>
      <c r="V470" s="11">
        <f t="shared" si="18"/>
        <v>1135216.9725000001</v>
      </c>
      <c r="W470" s="1" t="str">
        <f t="shared" si="19"/>
        <v>No</v>
      </c>
      <c r="X470" s="1"/>
      <c r="Y470" s="1"/>
      <c r="Z470" s="1"/>
      <c r="AA470" s="1"/>
    </row>
    <row r="471" spans="1:27" ht="14.4" x14ac:dyDescent="0.3">
      <c r="A471" s="1"/>
      <c r="B471" s="1"/>
      <c r="C471" s="1"/>
      <c r="D471" s="13">
        <v>73130</v>
      </c>
      <c r="E471" s="1" t="s">
        <v>346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4">
        <v>-30274</v>
      </c>
      <c r="R471" s="15">
        <v>0.01</v>
      </c>
      <c r="S471" s="11">
        <f t="shared" si="10"/>
        <v>1513622.6300000001</v>
      </c>
      <c r="T471" s="1" t="str">
        <f t="shared" si="11"/>
        <v>NO</v>
      </c>
      <c r="U471" s="15">
        <v>0.75</v>
      </c>
      <c r="V471" s="11">
        <f t="shared" si="18"/>
        <v>1135216.9725000001</v>
      </c>
      <c r="W471" s="1" t="str">
        <f t="shared" si="19"/>
        <v>No</v>
      </c>
      <c r="X471" s="1"/>
      <c r="Y471" s="1"/>
      <c r="Z471" s="1"/>
      <c r="AA471" s="1"/>
    </row>
    <row r="472" spans="1:27" ht="14.4" x14ac:dyDescent="0.3">
      <c r="A472" s="1"/>
      <c r="B472" s="1"/>
      <c r="C472" s="1"/>
      <c r="D472" s="13">
        <v>73140</v>
      </c>
      <c r="E472" s="1" t="s">
        <v>347</v>
      </c>
      <c r="F472" s="14">
        <v>-10001</v>
      </c>
      <c r="G472" s="14">
        <v>-10001</v>
      </c>
      <c r="H472" s="14">
        <v>-10001</v>
      </c>
      <c r="I472" s="14">
        <v>-10001</v>
      </c>
      <c r="J472" s="14">
        <v>-21001</v>
      </c>
      <c r="K472" s="14">
        <v>-21001</v>
      </c>
      <c r="L472" s="14">
        <v>-21001</v>
      </c>
      <c r="M472" s="14">
        <v>-21001</v>
      </c>
      <c r="N472" s="14">
        <v>-21001</v>
      </c>
      <c r="O472" s="14">
        <v>-32001</v>
      </c>
      <c r="P472" s="14">
        <v>-32001</v>
      </c>
      <c r="Q472" s="14">
        <v>-32001</v>
      </c>
      <c r="R472" s="15">
        <v>0.01</v>
      </c>
      <c r="S472" s="11">
        <f t="shared" si="10"/>
        <v>1513622.6300000001</v>
      </c>
      <c r="T472" s="1" t="str">
        <f t="shared" si="11"/>
        <v>NO</v>
      </c>
      <c r="U472" s="15">
        <v>0.75</v>
      </c>
      <c r="V472" s="11">
        <f t="shared" si="18"/>
        <v>1135216.9725000001</v>
      </c>
      <c r="W472" s="1" t="str">
        <f t="shared" si="19"/>
        <v>No</v>
      </c>
      <c r="X472" s="1"/>
      <c r="Y472" s="1"/>
      <c r="Z472" s="1"/>
      <c r="AA472" s="1"/>
    </row>
    <row r="473" spans="1:27" ht="14.4" x14ac:dyDescent="0.3">
      <c r="A473" s="1"/>
      <c r="B473" s="1"/>
      <c r="C473" s="1"/>
      <c r="D473" s="13">
        <v>73210</v>
      </c>
      <c r="E473" s="1" t="s">
        <v>348</v>
      </c>
      <c r="F473" s="13">
        <v>505</v>
      </c>
      <c r="G473" s="13">
        <v>505</v>
      </c>
      <c r="H473" s="14">
        <v>1540</v>
      </c>
      <c r="I473" s="14">
        <v>1540</v>
      </c>
      <c r="J473" s="14">
        <v>1652</v>
      </c>
      <c r="K473" s="14">
        <v>2138</v>
      </c>
      <c r="L473" s="14">
        <v>2359</v>
      </c>
      <c r="M473" s="14">
        <v>3108</v>
      </c>
      <c r="N473" s="14">
        <v>3545</v>
      </c>
      <c r="O473" s="14">
        <v>4981</v>
      </c>
      <c r="P473" s="14">
        <v>5194</v>
      </c>
      <c r="Q473" s="14">
        <v>5849</v>
      </c>
      <c r="R473" s="15">
        <v>0.01</v>
      </c>
      <c r="S473" s="11">
        <f t="shared" si="10"/>
        <v>1513622.6300000001</v>
      </c>
      <c r="T473" s="1" t="str">
        <f t="shared" si="11"/>
        <v>NO</v>
      </c>
      <c r="U473" s="15">
        <v>0.75</v>
      </c>
      <c r="V473" s="11">
        <f t="shared" si="18"/>
        <v>1135216.9725000001</v>
      </c>
      <c r="W473" s="1" t="str">
        <f t="shared" si="19"/>
        <v>No</v>
      </c>
      <c r="X473" s="1"/>
      <c r="Y473" s="1"/>
      <c r="Z473" s="1"/>
      <c r="AA473" s="1"/>
    </row>
    <row r="474" spans="1:27" ht="14.4" x14ac:dyDescent="0.3">
      <c r="A474" s="1"/>
      <c r="B474" s="1"/>
      <c r="C474" s="1"/>
      <c r="D474" s="13">
        <v>73220</v>
      </c>
      <c r="E474" s="1" t="s">
        <v>349</v>
      </c>
      <c r="F474" s="14">
        <v>78319</v>
      </c>
      <c r="G474" s="14">
        <v>560246</v>
      </c>
      <c r="H474" s="14">
        <v>642204</v>
      </c>
      <c r="I474" s="14">
        <v>670253</v>
      </c>
      <c r="J474" s="14">
        <v>696423</v>
      </c>
      <c r="K474" s="14">
        <v>784687</v>
      </c>
      <c r="L474" s="14">
        <v>840929</v>
      </c>
      <c r="M474" s="14">
        <v>866943</v>
      </c>
      <c r="N474" s="14">
        <v>893527</v>
      </c>
      <c r="O474" s="14">
        <v>915490</v>
      </c>
      <c r="P474" s="14">
        <v>943136</v>
      </c>
      <c r="Q474" s="14">
        <v>895272</v>
      </c>
      <c r="R474" s="15">
        <v>0.01</v>
      </c>
      <c r="S474" s="11">
        <f t="shared" si="10"/>
        <v>1513622.6300000001</v>
      </c>
      <c r="T474" s="1" t="str">
        <f t="shared" si="11"/>
        <v>NO</v>
      </c>
      <c r="U474" s="15">
        <v>0.75</v>
      </c>
      <c r="V474" s="11">
        <f t="shared" si="18"/>
        <v>1135216.9725000001</v>
      </c>
      <c r="W474" s="1" t="str">
        <f t="shared" si="19"/>
        <v>No</v>
      </c>
      <c r="X474" s="1"/>
      <c r="Y474" s="1"/>
      <c r="Z474" s="1"/>
      <c r="AA474" s="1"/>
    </row>
    <row r="475" spans="1:27" ht="14.4" x14ac:dyDescent="0.3">
      <c r="A475" s="1"/>
      <c r="B475" s="1"/>
      <c r="C475" s="1"/>
      <c r="D475" s="13">
        <v>73221</v>
      </c>
      <c r="E475" s="1" t="s">
        <v>350</v>
      </c>
      <c r="F475" s="14">
        <v>11603</v>
      </c>
      <c r="G475" s="14">
        <v>23197</v>
      </c>
      <c r="H475" s="14">
        <v>34786</v>
      </c>
      <c r="I475" s="14">
        <v>46378</v>
      </c>
      <c r="J475" s="14">
        <v>57967</v>
      </c>
      <c r="K475" s="14">
        <v>69549</v>
      </c>
      <c r="L475" s="14">
        <v>11131</v>
      </c>
      <c r="M475" s="14">
        <v>22711</v>
      </c>
      <c r="N475" s="14">
        <v>34295</v>
      </c>
      <c r="O475" s="14">
        <v>2195884</v>
      </c>
      <c r="P475" s="14">
        <v>2207460</v>
      </c>
      <c r="Q475" s="14">
        <v>2219030</v>
      </c>
      <c r="R475" s="15">
        <v>0.01</v>
      </c>
      <c r="S475" s="11">
        <f t="shared" si="10"/>
        <v>1513622.6300000001</v>
      </c>
      <c r="T475" s="1" t="str">
        <f t="shared" si="11"/>
        <v>YES</v>
      </c>
      <c r="U475" s="15">
        <v>0.75</v>
      </c>
      <c r="V475" s="11">
        <f t="shared" si="18"/>
        <v>1135216.9725000001</v>
      </c>
      <c r="W475" s="1" t="str">
        <f t="shared" si="19"/>
        <v>Yes</v>
      </c>
      <c r="X475" s="1"/>
      <c r="Y475" s="1"/>
      <c r="Z475" s="1"/>
      <c r="AA475" s="1"/>
    </row>
    <row r="476" spans="1:27" ht="14.4" x14ac:dyDescent="0.3">
      <c r="A476" s="1"/>
      <c r="B476" s="1"/>
      <c r="C476" s="1"/>
      <c r="D476" s="13">
        <v>73223</v>
      </c>
      <c r="E476" s="1" t="s">
        <v>351</v>
      </c>
      <c r="F476" s="1"/>
      <c r="G476" s="1"/>
      <c r="H476" s="1"/>
      <c r="I476" s="1"/>
      <c r="J476" s="1"/>
      <c r="K476" s="1"/>
      <c r="L476" s="1"/>
      <c r="M476" s="1"/>
      <c r="N476" s="1"/>
      <c r="O476" s="14">
        <v>972596</v>
      </c>
      <c r="P476" s="14">
        <v>1464833</v>
      </c>
      <c r="Q476" s="14">
        <v>21334427</v>
      </c>
      <c r="R476" s="15">
        <v>0.01</v>
      </c>
      <c r="S476" s="11">
        <f t="shared" si="10"/>
        <v>1513622.6300000001</v>
      </c>
      <c r="T476" s="1" t="str">
        <f t="shared" si="11"/>
        <v>YES</v>
      </c>
      <c r="U476" s="15">
        <v>0.75</v>
      </c>
      <c r="V476" s="11">
        <f t="shared" si="18"/>
        <v>1135216.9725000001</v>
      </c>
      <c r="W476" s="1" t="str">
        <f t="shared" si="19"/>
        <v>Yes</v>
      </c>
      <c r="X476" s="1"/>
      <c r="Y476" s="1"/>
      <c r="Z476" s="1"/>
      <c r="AA476" s="1"/>
    </row>
    <row r="477" spans="1:27" ht="14.4" x14ac:dyDescent="0.3">
      <c r="A477" s="1"/>
      <c r="B477" s="1"/>
      <c r="C477" s="1"/>
      <c r="D477" s="13">
        <v>79011</v>
      </c>
      <c r="E477" s="1" t="s">
        <v>352</v>
      </c>
      <c r="F477" s="14">
        <v>3605243</v>
      </c>
      <c r="G477" s="14">
        <v>7210486</v>
      </c>
      <c r="H477" s="14">
        <v>10340388</v>
      </c>
      <c r="I477" s="14">
        <v>13985249</v>
      </c>
      <c r="J477" s="14">
        <v>17630110</v>
      </c>
      <c r="K477" s="14">
        <v>21331992</v>
      </c>
      <c r="L477" s="14">
        <v>25161187</v>
      </c>
      <c r="M477" s="14">
        <v>28990381</v>
      </c>
      <c r="N477" s="14">
        <v>33886372</v>
      </c>
      <c r="O477" s="14">
        <v>39065540</v>
      </c>
      <c r="P477" s="14">
        <v>43921009</v>
      </c>
      <c r="Q477" s="14">
        <v>50303675</v>
      </c>
      <c r="R477" s="15">
        <v>0.01</v>
      </c>
      <c r="S477" s="11">
        <f t="shared" si="10"/>
        <v>1513622.6300000001</v>
      </c>
      <c r="T477" s="1" t="str">
        <f t="shared" si="11"/>
        <v>YES</v>
      </c>
      <c r="U477" s="15">
        <v>0.75</v>
      </c>
      <c r="V477" s="11">
        <f t="shared" si="18"/>
        <v>1135216.9725000001</v>
      </c>
      <c r="W477" s="1" t="str">
        <f t="shared" si="19"/>
        <v>Yes</v>
      </c>
      <c r="X477" s="1"/>
      <c r="Y477" s="1"/>
      <c r="Z477" s="1"/>
      <c r="AA477" s="1"/>
    </row>
    <row r="478" spans="1:27" ht="14.4" x14ac:dyDescent="0.3">
      <c r="A478" s="1"/>
      <c r="B478" s="1"/>
      <c r="C478" s="1"/>
      <c r="D478" s="13">
        <v>79015</v>
      </c>
      <c r="E478" s="1" t="s">
        <v>353</v>
      </c>
      <c r="F478" s="1"/>
      <c r="G478" s="1"/>
      <c r="H478" s="1"/>
      <c r="I478" s="1"/>
      <c r="J478" s="1"/>
      <c r="K478" s="14">
        <v>81473</v>
      </c>
      <c r="L478" s="14">
        <v>81473</v>
      </c>
      <c r="M478" s="14">
        <v>292383</v>
      </c>
      <c r="N478" s="14">
        <v>678893</v>
      </c>
      <c r="O478" s="14">
        <v>833032</v>
      </c>
      <c r="P478" s="14">
        <v>956311</v>
      </c>
      <c r="Q478" s="14">
        <v>1135850</v>
      </c>
      <c r="R478" s="15">
        <v>0.01</v>
      </c>
      <c r="S478" s="11">
        <f t="shared" si="10"/>
        <v>1513622.6300000001</v>
      </c>
      <c r="T478" s="1" t="str">
        <f t="shared" si="11"/>
        <v>NO</v>
      </c>
      <c r="U478" s="15">
        <v>0.75</v>
      </c>
      <c r="V478" s="11">
        <f t="shared" si="18"/>
        <v>1135216.9725000001</v>
      </c>
      <c r="W478" s="1" t="str">
        <f t="shared" si="19"/>
        <v>Yes</v>
      </c>
      <c r="X478" s="1"/>
      <c r="Y478" s="1"/>
      <c r="Z478" s="1"/>
      <c r="AA478" s="1"/>
    </row>
    <row r="479" spans="1:27" ht="14.4" x14ac:dyDescent="0.3">
      <c r="A479" s="1"/>
      <c r="B479" s="1"/>
      <c r="C479" s="1"/>
      <c r="D479" s="13">
        <v>79019</v>
      </c>
      <c r="E479" s="1" t="s">
        <v>354</v>
      </c>
      <c r="F479" s="14">
        <v>9327</v>
      </c>
      <c r="G479" s="14">
        <v>18653</v>
      </c>
      <c r="H479" s="14">
        <v>27980</v>
      </c>
      <c r="I479" s="14">
        <v>37306</v>
      </c>
      <c r="J479" s="14">
        <v>46633</v>
      </c>
      <c r="K479" s="14">
        <v>55959</v>
      </c>
      <c r="L479" s="14">
        <v>65286</v>
      </c>
      <c r="M479" s="14">
        <v>77786</v>
      </c>
      <c r="N479" s="14">
        <v>90286</v>
      </c>
      <c r="O479" s="14">
        <v>22083</v>
      </c>
      <c r="P479" s="14">
        <v>34583</v>
      </c>
      <c r="Q479" s="14">
        <v>59583</v>
      </c>
      <c r="R479" s="15">
        <v>0.01</v>
      </c>
      <c r="S479" s="11">
        <f t="shared" si="10"/>
        <v>1513622.6300000001</v>
      </c>
      <c r="T479" s="1" t="str">
        <f t="shared" si="11"/>
        <v>NO</v>
      </c>
      <c r="U479" s="15">
        <v>0.75</v>
      </c>
      <c r="V479" s="11">
        <f t="shared" si="18"/>
        <v>1135216.9725000001</v>
      </c>
      <c r="W479" s="1" t="str">
        <f t="shared" si="19"/>
        <v>No</v>
      </c>
      <c r="X479" s="1"/>
      <c r="Y479" s="1"/>
      <c r="Z479" s="1"/>
      <c r="AA479" s="1"/>
    </row>
    <row r="480" spans="1:27" ht="14.4" x14ac:dyDescent="0.3">
      <c r="A480" s="1"/>
      <c r="B480" s="1"/>
      <c r="C480" s="1"/>
      <c r="D480" s="13">
        <v>79022</v>
      </c>
      <c r="E480" s="1" t="s">
        <v>355</v>
      </c>
      <c r="F480" s="14">
        <v>290149</v>
      </c>
      <c r="G480" s="14">
        <v>574945</v>
      </c>
      <c r="H480" s="14">
        <v>650549</v>
      </c>
      <c r="I480" s="14">
        <v>930542</v>
      </c>
      <c r="J480" s="14">
        <v>1210535</v>
      </c>
      <c r="K480" s="14">
        <v>1110992</v>
      </c>
      <c r="L480" s="14">
        <v>1397072</v>
      </c>
      <c r="M480" s="14">
        <v>1706936</v>
      </c>
      <c r="N480" s="14">
        <v>1789593</v>
      </c>
      <c r="O480" s="14">
        <v>2074005</v>
      </c>
      <c r="P480" s="14">
        <v>2349243</v>
      </c>
      <c r="Q480" s="14">
        <v>5208746</v>
      </c>
      <c r="R480" s="15">
        <v>0.01</v>
      </c>
      <c r="S480" s="11">
        <f t="shared" si="10"/>
        <v>1513622.6300000001</v>
      </c>
      <c r="T480" s="1" t="str">
        <f t="shared" si="11"/>
        <v>YES</v>
      </c>
      <c r="U480" s="15">
        <v>0.75</v>
      </c>
      <c r="V480" s="11">
        <f t="shared" si="18"/>
        <v>1135216.9725000001</v>
      </c>
      <c r="W480" s="1" t="str">
        <f t="shared" si="19"/>
        <v>Yes</v>
      </c>
      <c r="X480" s="1"/>
      <c r="Y480" s="1"/>
      <c r="Z480" s="1"/>
      <c r="AA480" s="1"/>
    </row>
    <row r="481" spans="1:27" ht="14.4" x14ac:dyDescent="0.3">
      <c r="A481" s="1"/>
      <c r="B481" s="1"/>
      <c r="C481" s="1"/>
      <c r="D481" s="13">
        <v>79023</v>
      </c>
      <c r="E481" s="1" t="s">
        <v>356</v>
      </c>
      <c r="F481" s="14">
        <v>28572</v>
      </c>
      <c r="G481" s="14">
        <v>57145</v>
      </c>
      <c r="H481" s="14">
        <v>78190</v>
      </c>
      <c r="I481" s="14">
        <v>104253</v>
      </c>
      <c r="J481" s="14">
        <v>130316</v>
      </c>
      <c r="K481" s="14">
        <v>140958</v>
      </c>
      <c r="L481" s="14">
        <v>151600</v>
      </c>
      <c r="M481" s="14">
        <v>162242</v>
      </c>
      <c r="N481" s="14">
        <v>176977</v>
      </c>
      <c r="O481" s="14">
        <v>191560</v>
      </c>
      <c r="P481" s="14">
        <v>199413</v>
      </c>
      <c r="Q481" s="14">
        <v>214287</v>
      </c>
      <c r="R481" s="15">
        <v>0.01</v>
      </c>
      <c r="S481" s="11">
        <f t="shared" si="10"/>
        <v>1513622.6300000001</v>
      </c>
      <c r="T481" s="1" t="str">
        <f t="shared" si="11"/>
        <v>NO</v>
      </c>
      <c r="U481" s="15">
        <v>0.75</v>
      </c>
      <c r="V481" s="11">
        <f t="shared" si="18"/>
        <v>1135216.9725000001</v>
      </c>
      <c r="W481" s="1" t="str">
        <f t="shared" si="19"/>
        <v>No</v>
      </c>
      <c r="X481" s="1"/>
      <c r="Y481" s="1"/>
      <c r="Z481" s="1"/>
      <c r="AA481" s="1"/>
    </row>
    <row r="482" spans="1:27" ht="14.4" x14ac:dyDescent="0.3">
      <c r="A482" s="1"/>
      <c r="B482" s="1"/>
      <c r="C482" s="1"/>
      <c r="D482" s="13">
        <v>79030</v>
      </c>
      <c r="E482" s="1" t="s">
        <v>357</v>
      </c>
      <c r="F482" s="14">
        <v>47959</v>
      </c>
      <c r="G482" s="14">
        <v>95740</v>
      </c>
      <c r="H482" s="14">
        <v>253336</v>
      </c>
      <c r="I482" s="14">
        <v>324969</v>
      </c>
      <c r="J482" s="14">
        <v>397505</v>
      </c>
      <c r="K482" s="14">
        <v>493463</v>
      </c>
      <c r="L482" s="14">
        <v>575679</v>
      </c>
      <c r="M482" s="14">
        <v>665445</v>
      </c>
      <c r="N482" s="14">
        <v>729936</v>
      </c>
      <c r="O482" s="14">
        <v>806047</v>
      </c>
      <c r="P482" s="14">
        <v>878386</v>
      </c>
      <c r="Q482" s="14">
        <v>-1144578</v>
      </c>
      <c r="R482" s="15">
        <v>0.01</v>
      </c>
      <c r="S482" s="11">
        <f t="shared" si="10"/>
        <v>1513622.6300000001</v>
      </c>
      <c r="T482" s="1" t="str">
        <f t="shared" si="11"/>
        <v>NO</v>
      </c>
      <c r="U482" s="15">
        <v>0.75</v>
      </c>
      <c r="V482" s="11">
        <f t="shared" si="18"/>
        <v>1135216.9725000001</v>
      </c>
      <c r="W482" s="1" t="str">
        <f t="shared" si="19"/>
        <v>Yes</v>
      </c>
      <c r="X482" s="1"/>
      <c r="Y482" s="1"/>
      <c r="Z482" s="1"/>
      <c r="AA482" s="1"/>
    </row>
    <row r="483" spans="1:27" ht="14.4" x14ac:dyDescent="0.3">
      <c r="A483" s="1"/>
      <c r="B483" s="1"/>
      <c r="C483" s="1"/>
      <c r="D483" s="13">
        <v>79100</v>
      </c>
      <c r="E483" s="1" t="s">
        <v>358</v>
      </c>
      <c r="F483" s="13">
        <v>-141</v>
      </c>
      <c r="G483" s="13">
        <v>-262</v>
      </c>
      <c r="H483" s="13">
        <v>-370</v>
      </c>
      <c r="I483" s="14">
        <v>-4488</v>
      </c>
      <c r="J483" s="13">
        <v>-629</v>
      </c>
      <c r="K483" s="14">
        <v>-12764</v>
      </c>
      <c r="L483" s="14">
        <v>-16826</v>
      </c>
      <c r="M483" s="14">
        <v>-20879</v>
      </c>
      <c r="N483" s="14">
        <v>-26210</v>
      </c>
      <c r="O483" s="14">
        <v>-30209</v>
      </c>
      <c r="P483" s="14">
        <v>-33263</v>
      </c>
      <c r="Q483" s="14">
        <v>-50994</v>
      </c>
      <c r="R483" s="15">
        <v>0.01</v>
      </c>
      <c r="S483" s="11">
        <f t="shared" si="10"/>
        <v>1513622.6300000001</v>
      </c>
      <c r="T483" s="1" t="str">
        <f t="shared" si="11"/>
        <v>NO</v>
      </c>
      <c r="U483" s="15">
        <v>0.75</v>
      </c>
      <c r="V483" s="11">
        <f t="shared" si="18"/>
        <v>1135216.9725000001</v>
      </c>
      <c r="W483" s="1" t="str">
        <f t="shared" si="19"/>
        <v>No</v>
      </c>
      <c r="X483" s="1"/>
      <c r="Y483" s="1"/>
      <c r="Z483" s="1"/>
      <c r="AA483" s="1"/>
    </row>
    <row r="484" spans="1:27" ht="14.4" x14ac:dyDescent="0.3">
      <c r="A484" s="1"/>
      <c r="B484" s="1"/>
      <c r="C484" s="1"/>
      <c r="D484" s="13">
        <v>81000</v>
      </c>
      <c r="E484" s="1" t="s">
        <v>359</v>
      </c>
      <c r="F484" s="14">
        <v>4309971</v>
      </c>
      <c r="G484" s="14">
        <v>8604289</v>
      </c>
      <c r="H484" s="14">
        <v>14140827</v>
      </c>
      <c r="I484" s="14">
        <v>19199613</v>
      </c>
      <c r="J484" s="14">
        <v>23792257</v>
      </c>
      <c r="K484" s="14">
        <v>28358910</v>
      </c>
      <c r="L484" s="14">
        <v>32883472</v>
      </c>
      <c r="M484" s="14">
        <v>37714698</v>
      </c>
      <c r="N484" s="14">
        <v>47234971</v>
      </c>
      <c r="O484" s="14">
        <v>57066072</v>
      </c>
      <c r="P484" s="14">
        <v>60558281</v>
      </c>
      <c r="Q484" s="14">
        <v>50629854</v>
      </c>
      <c r="R484" s="15">
        <v>0.01</v>
      </c>
      <c r="S484" s="11">
        <f t="shared" si="10"/>
        <v>1513622.6300000001</v>
      </c>
      <c r="T484" s="1" t="str">
        <f t="shared" si="11"/>
        <v>YES</v>
      </c>
      <c r="U484" s="15">
        <v>0.75</v>
      </c>
      <c r="V484" s="11">
        <f t="shared" si="18"/>
        <v>1135216.9725000001</v>
      </c>
      <c r="W484" s="1" t="str">
        <f t="shared" si="19"/>
        <v>Yes</v>
      </c>
      <c r="X484" s="1"/>
      <c r="Y484" s="1"/>
      <c r="Z484" s="1"/>
      <c r="AA484" s="1"/>
    </row>
    <row r="485" spans="1:27" ht="14.4" x14ac:dyDescent="0.3">
      <c r="A485" s="1"/>
      <c r="B485" s="1"/>
      <c r="C485" s="1"/>
      <c r="D485" s="13">
        <v>82000</v>
      </c>
      <c r="E485" s="1" t="s">
        <v>360</v>
      </c>
      <c r="F485" s="14">
        <v>134592</v>
      </c>
      <c r="G485" s="14">
        <v>275898</v>
      </c>
      <c r="H485" s="14">
        <v>458804</v>
      </c>
      <c r="I485" s="14">
        <v>625341</v>
      </c>
      <c r="J485" s="14">
        <v>778443</v>
      </c>
      <c r="K485" s="14">
        <v>923730</v>
      </c>
      <c r="L485" s="14">
        <v>1071448</v>
      </c>
      <c r="M485" s="14">
        <v>1230080</v>
      </c>
      <c r="N485" s="14">
        <v>1444955</v>
      </c>
      <c r="O485" s="14">
        <v>1572376</v>
      </c>
      <c r="P485" s="14">
        <v>1690666</v>
      </c>
      <c r="Q485" s="14">
        <v>3329031</v>
      </c>
      <c r="R485" s="15">
        <v>0.01</v>
      </c>
      <c r="S485" s="11">
        <f t="shared" si="10"/>
        <v>1513622.6300000001</v>
      </c>
      <c r="T485" s="1" t="str">
        <f t="shared" si="11"/>
        <v>YES</v>
      </c>
      <c r="U485" s="15">
        <v>0.75</v>
      </c>
      <c r="V485" s="11">
        <f t="shared" si="18"/>
        <v>1135216.9725000001</v>
      </c>
      <c r="W485" s="1" t="str">
        <f t="shared" si="19"/>
        <v>Yes</v>
      </c>
      <c r="X485" s="1"/>
      <c r="Y485" s="1"/>
      <c r="Z485" s="1"/>
      <c r="AA485" s="1"/>
    </row>
    <row r="486" spans="1:27" ht="14.4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4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4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4" x14ac:dyDescent="0.3">
      <c r="A489" s="1"/>
      <c r="B489" s="1"/>
      <c r="C489" s="1"/>
      <c r="D489" s="14">
        <f t="shared" ref="D489:O489" si="20">SUM(D488)</f>
        <v>0</v>
      </c>
      <c r="E489" s="14">
        <f t="shared" si="20"/>
        <v>0</v>
      </c>
      <c r="F489" s="14">
        <f t="shared" si="20"/>
        <v>0</v>
      </c>
      <c r="G489" s="14">
        <f t="shared" si="20"/>
        <v>0</v>
      </c>
      <c r="H489" s="14">
        <f t="shared" si="20"/>
        <v>0</v>
      </c>
      <c r="I489" s="14">
        <f t="shared" si="20"/>
        <v>0</v>
      </c>
      <c r="J489" s="14">
        <f t="shared" si="20"/>
        <v>0</v>
      </c>
      <c r="K489" s="14">
        <f t="shared" si="20"/>
        <v>0</v>
      </c>
      <c r="L489" s="14">
        <f t="shared" si="20"/>
        <v>0</v>
      </c>
      <c r="M489" s="14">
        <f t="shared" si="20"/>
        <v>0</v>
      </c>
      <c r="N489" s="14">
        <f t="shared" si="20"/>
        <v>0</v>
      </c>
      <c r="O489" s="14">
        <f t="shared" si="20"/>
        <v>0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4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4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4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4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4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4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4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4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4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4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4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4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4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4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4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4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4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4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4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4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4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4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4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4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4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4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4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4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4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4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4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4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4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4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4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4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4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4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4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4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4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4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4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4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4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4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4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4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4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4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4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4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4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4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4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4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4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4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4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4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4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4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4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4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4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4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4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4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4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4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4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4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4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4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4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4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4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4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4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4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4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4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4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4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4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4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4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4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4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4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4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4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4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4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4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4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4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4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4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4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4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4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4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4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4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4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4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4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4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4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4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4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4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4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4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4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4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4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4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4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4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4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4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4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4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4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4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4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4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4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4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4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4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4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4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4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4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4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4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4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4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4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4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4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4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4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4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4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4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4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4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4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4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4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4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4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4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4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4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4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4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4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4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4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4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4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4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4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4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4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4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4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4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4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4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4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4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4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4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4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4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4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4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4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4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4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4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4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4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4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4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4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4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4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4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4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4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4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4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4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4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4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4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4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4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4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4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4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4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4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4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4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4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4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4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4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4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4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4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4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4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4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4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4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4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4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4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4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4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4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4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4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4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4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4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4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4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4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4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4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4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4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4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4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4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4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4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4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4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4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4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4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4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4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4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4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4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4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4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4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4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4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4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4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4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4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4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4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4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4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4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4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4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4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4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4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4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4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4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4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4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4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4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4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4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4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4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4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4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4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4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4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4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4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4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4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4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4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4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4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4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4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4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4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4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4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4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4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4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4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4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4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4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4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4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4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4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4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4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4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4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4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4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4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4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4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4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4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4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4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4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4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4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4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4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4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4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4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4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4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4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4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4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4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4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4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4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4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4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4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4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4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4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4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4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4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4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4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4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4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4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4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4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4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4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4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4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4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4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4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4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4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4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4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4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4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4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4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4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4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4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4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4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4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4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4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4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4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4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4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4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4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4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4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4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4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4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4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4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4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4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4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4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4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4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4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4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4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4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4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4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4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4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4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4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4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4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4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4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4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4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4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4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4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4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4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4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4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4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4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4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4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4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4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4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4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4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4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4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4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4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4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4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4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4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4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4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4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4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4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4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4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4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4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4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4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4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4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4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4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4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4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4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4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4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4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4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4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4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4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4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4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4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4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4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4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4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4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4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4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4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4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4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4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4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4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4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4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4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4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4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4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4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4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4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4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4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4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4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4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4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4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4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4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4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4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4.4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4.4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4.4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4.4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4.4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4.4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mergeCells count="5">
    <mergeCell ref="B5:D5"/>
    <mergeCell ref="Q6:S6"/>
    <mergeCell ref="Q7:S7"/>
    <mergeCell ref="Q8:S8"/>
    <mergeCell ref="Q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Monthly Trial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mpezanoski;Shaghayegh Haghbin</dc:creator>
  <cp:lastModifiedBy>Shaghayegh Haghbin [sdwh6702]</cp:lastModifiedBy>
  <dcterms:created xsi:type="dcterms:W3CDTF">2014-05-23T17:27:54Z</dcterms:created>
  <dcterms:modified xsi:type="dcterms:W3CDTF">2025-05-01T13:47:08Z</dcterms:modified>
</cp:coreProperties>
</file>